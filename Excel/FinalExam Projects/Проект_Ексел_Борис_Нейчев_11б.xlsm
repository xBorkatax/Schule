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ychev\Desktop\"/>
    </mc:Choice>
  </mc:AlternateContent>
  <xr:revisionPtr revIDLastSave="0" documentId="13_ncr:1_{B98580EE-1853-4A4C-BB41-49B13D424A2C}" xr6:coauthVersionLast="47" xr6:coauthVersionMax="47" xr10:uidLastSave="{00000000-0000-0000-0000-000000000000}"/>
  <bookViews>
    <workbookView xWindow="-120" yWindow="-120" windowWidth="29040" windowHeight="15840" activeTab="2" xr2:uid="{AA9FFFDB-AC5A-454F-B5DB-8A2C4456355E}"/>
  </bookViews>
  <sheets>
    <sheet name="Начало" sheetId="1" r:id="rId1"/>
    <sheet name="Програма" sheetId="2" r:id="rId2"/>
    <sheet name="Резултати" sheetId="3" r:id="rId3"/>
    <sheet name="Easter Egg" sheetId="7" state="hidden" r:id="rId4"/>
    <sheet name="Класиране" sheetId="4" r:id="rId5"/>
    <sheet name="ФЛАГОВЕ" sheetId="5" state="hidden" r:id="rId6"/>
  </sheets>
  <externalReferences>
    <externalReference r:id="rId7"/>
  </externalReferences>
  <definedNames>
    <definedName name="_xlnm._FilterDatabase" localSheetId="4" hidden="1">Класиране!$C$12:$N$16</definedName>
    <definedName name="fl">INDIRECT(Класиране!$AF$9)</definedName>
    <definedName name="flL">INDIRECT(Класиране!$AF$11)</definedName>
    <definedName name="FLLL">INDIRECT(Класиране!$AF$23)</definedName>
    <definedName name="KP">INDIRECT(Класиране!$AR$34)</definedName>
    <definedName name="KPP">INDIRECT(Класиране!$AR$36)</definedName>
    <definedName name="LO">INDIRECT(Класиране!$AL$16)</definedName>
    <definedName name="LOL">INDIRECT(Класиране!$AL$18)</definedName>
    <definedName name="MO">INDIRECT(Класиране!$AR$26)</definedName>
    <definedName name="MOM">INDIRECT(Класиране!$AR$28)</definedName>
    <definedName name="NZ">INDIRECT(Класиране!$AF$51)</definedName>
    <definedName name="NZZ">INDIRECT(Класиране!$AF$54)</definedName>
    <definedName name="OP">INDIRECT(Класиране!$AF$25)</definedName>
    <definedName name="OPP">INDIRECT(Класиране!$AF$37)</definedName>
    <definedName name="PISNAMIFL">INDIRECT(Класиране!$AF$39)</definedName>
    <definedName name="WE">INDIRECT(Класиране!$AL$44)</definedName>
    <definedName name="WEW">INDIRECT(Класиране!$AL$46)</definedName>
    <definedName name="Аржентина">ФЛАГОВЕ!$C$25</definedName>
    <definedName name="Бразилия">ФЛАГОВЕ!$C$4</definedName>
    <definedName name="България">ФЛАГОВЕ!$C$15</definedName>
    <definedName name="ВЕЧНОвТОРИЯ">INDIRECT(Класиране!$F$41)</definedName>
    <definedName name="Германия">ФЛАГОВЕ!$C$18</definedName>
    <definedName name="ГрупаB">Програма!$M$13:$U$19</definedName>
    <definedName name="ГрупаD">Програма!$M$25:$U$31</definedName>
    <definedName name="ГрупаА">Програма!$C$13:$K$19</definedName>
    <definedName name="ГрупаС">Програма!$C$25:$K$31</definedName>
    <definedName name="Египет">ФЛАГОВЕ!$C$27</definedName>
    <definedName name="Ел41">Програма!$C$48:$K$49</definedName>
    <definedName name="Ел42">Програма!$M$48:$U$49</definedName>
    <definedName name="Ел43">Програма!$C$55:$K$56</definedName>
    <definedName name="Ел44">Програма!$M$55:$U$56</definedName>
    <definedName name="Иран">ФЛАГОВЕ!$C$26</definedName>
    <definedName name="Италия">ФЛАГОВЕ!$C$3</definedName>
    <definedName name="Камерун">ФЛАГОВЕ!$C$19</definedName>
    <definedName name="Канада">ФЛАГОВЕ!$C$22</definedName>
    <definedName name="Катар">ФЛАГОВЕ!$C$12</definedName>
    <definedName name="Китай">ФЛАГОВЕ!$C$23</definedName>
    <definedName name="Куба">ФЛАГОВЕ!$C$11</definedName>
    <definedName name="Мексико">ФЛАГОВЕ!$C$14</definedName>
    <definedName name="Нидерландия">ФЛАГОВЕ!$C$24</definedName>
    <definedName name="ОсминафиналГрупаА">[1]Програма!$A$6:$I$10</definedName>
    <definedName name="ОтбориГрупаD">Програма!$AC$25:$AE$29</definedName>
    <definedName name="ОтбориГрупаА">Програма!$Y$13:$AA$17</definedName>
    <definedName name="ОтбориГрупаВ">Програма!$AC$13:$AE$17</definedName>
    <definedName name="ОтбориГрупаС">Програма!$Y$25:$AA$29</definedName>
    <definedName name="Полша">ФЛАГОВЕ!$C$2</definedName>
    <definedName name="ПОСЛЕДНАДУПКАНАКАВАЛА">INDIRECT(Класиране!$R$44)</definedName>
    <definedName name="Пуерто_Рико">ФЛАГОВЕ!$C$9</definedName>
    <definedName name="САЩ">ФЛАГОВЕ!$C$13</definedName>
    <definedName name="Словения">ФЛАГОВЕ!$C$5</definedName>
    <definedName name="Сърбия">ФЛАГОВЕ!$C$6</definedName>
    <definedName name="Тунис">ФЛАГОВЕ!$C$8</definedName>
    <definedName name="Турция">ФЛАГОВЕ!$C$21</definedName>
    <definedName name="Украйна">ФЛАГОВЕ!$C$7</definedName>
    <definedName name="Франция">ФЛАГОВЕ!$C$16</definedName>
    <definedName name="ШАМПИОНА">INDIRECT(Класиране!$L$37)</definedName>
    <definedName name="Япония">ФЛАГОВЕ!$C$10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9" i="4" l="1"/>
  <c r="AF54" i="4"/>
  <c r="R59" i="3"/>
  <c r="Q59" i="3"/>
  <c r="E59" i="3"/>
  <c r="D59" i="3"/>
  <c r="U60" i="3"/>
  <c r="AT28" i="4" s="1"/>
  <c r="U59" i="3"/>
  <c r="AT26" i="4" s="1"/>
  <c r="H60" i="3"/>
  <c r="AT36" i="4" s="1"/>
  <c r="H59" i="3"/>
  <c r="AT34" i="4" s="1"/>
  <c r="U50" i="3"/>
  <c r="AN46" i="4" s="1"/>
  <c r="U49" i="3"/>
  <c r="AN44" i="4" s="1"/>
  <c r="R49" i="3"/>
  <c r="Q49" i="3"/>
  <c r="H50" i="3"/>
  <c r="AN18" i="4" s="1"/>
  <c r="H49" i="3"/>
  <c r="AN16" i="4" s="1"/>
  <c r="E49" i="3"/>
  <c r="D49" i="3"/>
  <c r="AR39" i="3"/>
  <c r="AQ39" i="3"/>
  <c r="AU40" i="3"/>
  <c r="AH54" i="4" s="1"/>
  <c r="AU39" i="3"/>
  <c r="AH51" i="4" s="1"/>
  <c r="AL46" i="4" s="1"/>
  <c r="AE39" i="3"/>
  <c r="AD39" i="3"/>
  <c r="AH40" i="3"/>
  <c r="AH25" i="4" s="1"/>
  <c r="AH39" i="3"/>
  <c r="AH23" i="4" s="1"/>
  <c r="R39" i="3"/>
  <c r="Q39" i="3"/>
  <c r="U40" i="3"/>
  <c r="AH39" i="4" s="1"/>
  <c r="U39" i="3"/>
  <c r="AH37" i="4" s="1"/>
  <c r="E39" i="3"/>
  <c r="D39" i="3"/>
  <c r="H40" i="3"/>
  <c r="AH11" i="4" s="1"/>
  <c r="H39" i="3"/>
  <c r="AH9" i="4" s="1"/>
  <c r="AH10" i="3"/>
  <c r="AH9" i="3"/>
  <c r="H10" i="3"/>
  <c r="H9" i="3"/>
  <c r="AU30" i="3"/>
  <c r="AU29" i="3"/>
  <c r="AU26" i="3"/>
  <c r="AU25" i="3"/>
  <c r="AU22" i="3"/>
  <c r="AU21" i="3"/>
  <c r="AU18" i="3"/>
  <c r="AU17" i="3"/>
  <c r="AU14" i="3"/>
  <c r="AU13" i="3"/>
  <c r="AU10" i="3"/>
  <c r="AU9" i="3"/>
  <c r="AH30" i="3"/>
  <c r="AH29" i="3"/>
  <c r="AH26" i="3"/>
  <c r="AH25" i="3"/>
  <c r="AH22" i="3"/>
  <c r="AH21" i="3"/>
  <c r="AH18" i="3"/>
  <c r="AH17" i="3"/>
  <c r="AH14" i="3"/>
  <c r="AH13" i="3"/>
  <c r="U10" i="3"/>
  <c r="U9" i="3"/>
  <c r="U30" i="3"/>
  <c r="U29" i="3"/>
  <c r="U26" i="3"/>
  <c r="U25" i="3"/>
  <c r="U22" i="3"/>
  <c r="U21" i="3"/>
  <c r="U18" i="3"/>
  <c r="U17" i="3"/>
  <c r="U14" i="3"/>
  <c r="U13" i="3"/>
  <c r="H30" i="3"/>
  <c r="H29" i="3"/>
  <c r="H26" i="3"/>
  <c r="H25" i="3"/>
  <c r="H22" i="3"/>
  <c r="H21" i="3"/>
  <c r="H18" i="3"/>
  <c r="H17" i="3"/>
  <c r="H14" i="3"/>
  <c r="H13" i="3"/>
  <c r="BA9" i="3" l="1"/>
  <c r="AN13" i="3"/>
  <c r="BA21" i="3"/>
  <c r="BA26" i="3"/>
  <c r="AN21" i="3"/>
  <c r="BA29" i="3"/>
  <c r="AA17" i="3"/>
  <c r="AN25" i="3"/>
  <c r="AN29" i="3"/>
  <c r="AA26" i="3"/>
  <c r="BA10" i="3"/>
  <c r="BA14" i="3"/>
  <c r="BA17" i="3"/>
  <c r="AN17" i="3"/>
  <c r="BA25" i="3"/>
  <c r="BA18" i="3"/>
  <c r="AN14" i="3"/>
  <c r="BA22" i="3"/>
  <c r="AN18" i="3"/>
  <c r="BA30" i="3"/>
  <c r="AA23" i="4" s="1"/>
  <c r="AN22" i="3"/>
  <c r="AN26" i="3"/>
  <c r="N22" i="3"/>
  <c r="AN30" i="3"/>
  <c r="AN10" i="3"/>
  <c r="N17" i="3"/>
  <c r="AA29" i="3"/>
  <c r="BA13" i="3"/>
  <c r="AA18" i="3"/>
  <c r="N13" i="3"/>
  <c r="AA25" i="3"/>
  <c r="N18" i="3"/>
  <c r="AA30" i="3"/>
  <c r="AN9" i="3"/>
  <c r="AA21" i="3"/>
  <c r="AA22" i="3"/>
  <c r="AA14" i="3"/>
  <c r="AA13" i="3"/>
  <c r="AA10" i="3"/>
  <c r="AA9" i="3"/>
  <c r="N30" i="3"/>
  <c r="N26" i="3"/>
  <c r="N21" i="3"/>
  <c r="N25" i="3"/>
  <c r="N14" i="3"/>
  <c r="N29" i="3"/>
  <c r="N9" i="3"/>
  <c r="N10" i="3"/>
  <c r="Q26" i="4"/>
  <c r="Q25" i="4"/>
  <c r="Q24" i="4"/>
  <c r="Z58" i="2" s="1"/>
  <c r="J56" i="2" s="1"/>
  <c r="Q23" i="4"/>
  <c r="AD58" i="2" s="1"/>
  <c r="T56" i="2" s="1"/>
  <c r="D26" i="4"/>
  <c r="D24" i="4"/>
  <c r="AD57" i="2" s="1"/>
  <c r="R56" i="2" s="1"/>
  <c r="D25" i="4"/>
  <c r="D23" i="4"/>
  <c r="Z57" i="2" s="1"/>
  <c r="H56" i="2" s="1"/>
  <c r="Q16" i="4"/>
  <c r="Q13" i="4"/>
  <c r="Q15" i="4"/>
  <c r="Q14" i="4"/>
  <c r="D16" i="4"/>
  <c r="D14" i="4"/>
  <c r="AD49" i="2" s="1"/>
  <c r="R49" i="2" s="1"/>
  <c r="D15" i="4"/>
  <c r="D13" i="4"/>
  <c r="Z49" i="2" s="1"/>
  <c r="H49" i="2" s="1"/>
  <c r="Y26" i="4"/>
  <c r="Y25" i="4"/>
  <c r="Y24" i="4"/>
  <c r="Y23" i="4"/>
  <c r="X26" i="4"/>
  <c r="X25" i="4"/>
  <c r="X24" i="4"/>
  <c r="X23" i="4"/>
  <c r="V26" i="4"/>
  <c r="V25" i="4"/>
  <c r="V24" i="4"/>
  <c r="V23" i="4"/>
  <c r="U26" i="4"/>
  <c r="U25" i="4"/>
  <c r="U24" i="4"/>
  <c r="U23" i="4"/>
  <c r="S26" i="4"/>
  <c r="S25" i="4"/>
  <c r="S24" i="4"/>
  <c r="S23" i="4"/>
  <c r="Y16" i="4"/>
  <c r="Y13" i="4"/>
  <c r="Y15" i="4"/>
  <c r="Y14" i="4"/>
  <c r="X16" i="4"/>
  <c r="X13" i="4"/>
  <c r="X15" i="4"/>
  <c r="X14" i="4"/>
  <c r="I26" i="4"/>
  <c r="I24" i="4"/>
  <c r="I25" i="4"/>
  <c r="I23" i="4"/>
  <c r="H26" i="4"/>
  <c r="H24" i="4"/>
  <c r="H25" i="4"/>
  <c r="H23" i="4"/>
  <c r="L26" i="4"/>
  <c r="K26" i="4"/>
  <c r="L24" i="4"/>
  <c r="K24" i="4"/>
  <c r="L25" i="4"/>
  <c r="K25" i="4"/>
  <c r="L23" i="4"/>
  <c r="K23" i="4"/>
  <c r="F26" i="4"/>
  <c r="F24" i="4"/>
  <c r="F25" i="4"/>
  <c r="F23" i="4"/>
  <c r="L13" i="4"/>
  <c r="L16" i="4"/>
  <c r="L14" i="4"/>
  <c r="L15" i="4"/>
  <c r="K16" i="4"/>
  <c r="K14" i="4"/>
  <c r="K15" i="4"/>
  <c r="Z50" i="2" l="1"/>
  <c r="J49" i="2" s="1"/>
  <c r="N14" i="4"/>
  <c r="N25" i="4"/>
  <c r="AA26" i="4"/>
  <c r="AA24" i="4"/>
  <c r="AA16" i="4"/>
  <c r="N23" i="4"/>
  <c r="N24" i="4"/>
  <c r="N13" i="4"/>
  <c r="AA25" i="4"/>
  <c r="AA14" i="4"/>
  <c r="AA15" i="4"/>
  <c r="AA13" i="4"/>
  <c r="N15" i="4"/>
  <c r="N26" i="4"/>
  <c r="AD50" i="2"/>
  <c r="M25" i="4"/>
  <c r="N16" i="4"/>
  <c r="F39" i="3"/>
  <c r="AL16" i="4"/>
  <c r="AR26" i="4" s="1"/>
  <c r="L37" i="4" s="1"/>
  <c r="AF37" i="4"/>
  <c r="AL44" i="4" s="1"/>
  <c r="AR28" i="4" s="1"/>
  <c r="F41" i="4" s="1"/>
  <c r="S39" i="3"/>
  <c r="AF40" i="3"/>
  <c r="AF25" i="4"/>
  <c r="F40" i="3"/>
  <c r="AF11" i="4"/>
  <c r="AF39" i="3"/>
  <c r="AF23" i="4"/>
  <c r="AL18" i="4" s="1"/>
  <c r="AR34" i="4" s="1"/>
  <c r="R44" i="4" s="1"/>
  <c r="AS39" i="3"/>
  <c r="AF51" i="4"/>
  <c r="AR36" i="4" s="1"/>
  <c r="AS40" i="3"/>
  <c r="Z24" i="4"/>
  <c r="Z26" i="4"/>
  <c r="M23" i="4"/>
  <c r="Z25" i="4"/>
  <c r="Z14" i="4"/>
  <c r="Z13" i="4"/>
  <c r="Z23" i="4"/>
  <c r="Z15" i="4"/>
  <c r="M24" i="4"/>
  <c r="W26" i="4"/>
  <c r="J26" i="4"/>
  <c r="M26" i="4"/>
  <c r="W25" i="4"/>
  <c r="W24" i="4"/>
  <c r="W23" i="4"/>
  <c r="J23" i="4"/>
  <c r="J24" i="4"/>
  <c r="J25" i="4"/>
  <c r="Z16" i="4"/>
  <c r="M15" i="4"/>
  <c r="M14" i="4"/>
  <c r="M16" i="4"/>
  <c r="T49" i="2" l="1"/>
  <c r="AF39" i="4" s="1"/>
  <c r="J62" i="2"/>
  <c r="F50" i="3"/>
  <c r="T62" i="2"/>
  <c r="S50" i="3"/>
  <c r="S49" i="3"/>
  <c r="AB76" i="2" s="1"/>
  <c r="R62" i="2"/>
  <c r="F49" i="3"/>
  <c r="H62" i="2"/>
  <c r="K13" i="4"/>
  <c r="M13" i="4" s="1"/>
  <c r="AR29" i="3"/>
  <c r="AQ29" i="3"/>
  <c r="AR25" i="3"/>
  <c r="AQ25" i="3"/>
  <c r="AR21" i="3"/>
  <c r="AQ21" i="3"/>
  <c r="AR17" i="3"/>
  <c r="AQ17" i="3"/>
  <c r="AR13" i="3"/>
  <c r="AQ13" i="3"/>
  <c r="AR9" i="3"/>
  <c r="AQ9" i="3"/>
  <c r="AE29" i="3"/>
  <c r="AD29" i="3"/>
  <c r="AE25" i="3"/>
  <c r="AD25" i="3"/>
  <c r="AE21" i="3"/>
  <c r="AD21" i="3"/>
  <c r="AE17" i="3"/>
  <c r="AD17" i="3"/>
  <c r="AE13" i="3"/>
  <c r="AD13" i="3"/>
  <c r="AE9" i="3"/>
  <c r="AD9" i="3"/>
  <c r="R29" i="3"/>
  <c r="Q29" i="3"/>
  <c r="R25" i="3"/>
  <c r="Q25" i="3"/>
  <c r="R21" i="3"/>
  <c r="Q21" i="3"/>
  <c r="R17" i="3"/>
  <c r="Q17" i="3"/>
  <c r="R13" i="3"/>
  <c r="Q13" i="3"/>
  <c r="R9" i="3"/>
  <c r="Q9" i="3"/>
  <c r="E29" i="3"/>
  <c r="D29" i="3"/>
  <c r="E25" i="3"/>
  <c r="D25" i="3"/>
  <c r="E21" i="3"/>
  <c r="D21" i="3"/>
  <c r="E17" i="3"/>
  <c r="D17" i="3"/>
  <c r="E13" i="3"/>
  <c r="D13" i="3"/>
  <c r="E9" i="3"/>
  <c r="D9" i="3"/>
  <c r="T31" i="2"/>
  <c r="AS30" i="3" s="1"/>
  <c r="R31" i="2"/>
  <c r="AS29" i="3" s="1"/>
  <c r="T30" i="2"/>
  <c r="AS26" i="3" s="1"/>
  <c r="R30" i="2"/>
  <c r="AS25" i="3" s="1"/>
  <c r="T29" i="2"/>
  <c r="AS22" i="3" s="1"/>
  <c r="R29" i="2"/>
  <c r="AS21" i="3" s="1"/>
  <c r="T28" i="2"/>
  <c r="AS18" i="3" s="1"/>
  <c r="R28" i="2"/>
  <c r="AS17" i="3" s="1"/>
  <c r="T27" i="2"/>
  <c r="AS14" i="3" s="1"/>
  <c r="R27" i="2"/>
  <c r="AS13" i="3" s="1"/>
  <c r="T26" i="2"/>
  <c r="AS10" i="3" s="1"/>
  <c r="R26" i="2"/>
  <c r="AS9" i="3" s="1"/>
  <c r="H26" i="2"/>
  <c r="AF9" i="3" s="1"/>
  <c r="J26" i="2"/>
  <c r="AF10" i="3" s="1"/>
  <c r="J31" i="2"/>
  <c r="AF30" i="3" s="1"/>
  <c r="H31" i="2"/>
  <c r="AF29" i="3" s="1"/>
  <c r="J30" i="2"/>
  <c r="AF26" i="3" s="1"/>
  <c r="H30" i="2"/>
  <c r="AF25" i="3" s="1"/>
  <c r="J29" i="2"/>
  <c r="AF22" i="3" s="1"/>
  <c r="H29" i="2"/>
  <c r="AF21" i="3" s="1"/>
  <c r="J28" i="2"/>
  <c r="AF18" i="3" s="1"/>
  <c r="H28" i="2"/>
  <c r="AF17" i="3" s="1"/>
  <c r="J27" i="2"/>
  <c r="AF14" i="3" s="1"/>
  <c r="H27" i="2"/>
  <c r="AF13" i="3" s="1"/>
  <c r="T14" i="2"/>
  <c r="S10" i="3" s="1"/>
  <c r="R19" i="2"/>
  <c r="S29" i="3" s="1"/>
  <c r="T19" i="2"/>
  <c r="S30" i="3" s="1"/>
  <c r="T18" i="2"/>
  <c r="S26" i="3" s="1"/>
  <c r="R18" i="2"/>
  <c r="S25" i="3" s="1"/>
  <c r="T17" i="2"/>
  <c r="S22" i="3" s="1"/>
  <c r="R17" i="2"/>
  <c r="S21" i="3" s="1"/>
  <c r="T16" i="2"/>
  <c r="S18" i="3" s="1"/>
  <c r="R16" i="2"/>
  <c r="S17" i="3" s="1"/>
  <c r="T15" i="2"/>
  <c r="S14" i="3" s="1"/>
  <c r="R15" i="2"/>
  <c r="S13" i="3" s="1"/>
  <c r="R14" i="2"/>
  <c r="S9" i="3" s="1"/>
  <c r="J15" i="2"/>
  <c r="F14" i="3" s="1"/>
  <c r="J19" i="2"/>
  <c r="F30" i="3" s="1"/>
  <c r="H19" i="2"/>
  <c r="F29" i="3" s="1"/>
  <c r="J18" i="2"/>
  <c r="F26" i="3" s="1"/>
  <c r="H18" i="2"/>
  <c r="F25" i="3" s="1"/>
  <c r="J17" i="2"/>
  <c r="F22" i="3" s="1"/>
  <c r="H17" i="2"/>
  <c r="F21" i="3" s="1"/>
  <c r="J16" i="2"/>
  <c r="F18" i="3" s="1"/>
  <c r="H16" i="2"/>
  <c r="F17" i="3" s="1"/>
  <c r="H15" i="2"/>
  <c r="F13" i="3" s="1"/>
  <c r="E16" i="4" s="1"/>
  <c r="J14" i="2"/>
  <c r="F10" i="3" s="1"/>
  <c r="E14" i="4" s="1"/>
  <c r="H14" i="2"/>
  <c r="F9" i="3" s="1"/>
  <c r="S40" i="3" l="1"/>
  <c r="F60" i="3"/>
  <c r="O77" i="2"/>
  <c r="AB77" i="2"/>
  <c r="F59" i="3"/>
  <c r="M77" i="2"/>
  <c r="AB75" i="2"/>
  <c r="AB74" i="2"/>
  <c r="S59" i="3"/>
  <c r="M83" i="2"/>
  <c r="S60" i="3"/>
  <c r="O83" i="2"/>
  <c r="R24" i="4"/>
  <c r="T24" i="4" s="1"/>
  <c r="R25" i="4"/>
  <c r="T25" i="4" s="1"/>
  <c r="R26" i="4"/>
  <c r="T26" i="4" s="1"/>
  <c r="R23" i="4"/>
  <c r="T23" i="4" s="1"/>
  <c r="E25" i="4"/>
  <c r="G25" i="4" s="1"/>
  <c r="E23" i="4"/>
  <c r="G23" i="4" s="1"/>
  <c r="E24" i="4"/>
  <c r="G24" i="4" s="1"/>
  <c r="E26" i="4"/>
  <c r="G26" i="4" s="1"/>
  <c r="R16" i="4"/>
  <c r="R14" i="4"/>
  <c r="R15" i="4"/>
  <c r="R13" i="4"/>
  <c r="E15" i="4"/>
  <c r="E13" i="4"/>
  <c r="S16" i="4"/>
  <c r="U16" i="4"/>
  <c r="V13" i="4"/>
  <c r="S13" i="4"/>
  <c r="U13" i="4"/>
  <c r="V16" i="4"/>
  <c r="V14" i="4"/>
  <c r="U15" i="4"/>
  <c r="S15" i="4"/>
  <c r="U14" i="4"/>
  <c r="S14" i="4"/>
  <c r="V15" i="4"/>
  <c r="F13" i="4"/>
  <c r="I15" i="4"/>
  <c r="F15" i="4"/>
  <c r="H15" i="4"/>
  <c r="H16" i="4"/>
  <c r="I14" i="4"/>
  <c r="F16" i="4"/>
  <c r="G16" i="4" s="1"/>
  <c r="F14" i="4"/>
  <c r="G14" i="4" s="1"/>
  <c r="I16" i="4"/>
  <c r="H14" i="4"/>
  <c r="I13" i="4"/>
  <c r="H13" i="4"/>
  <c r="W14" i="4" l="1"/>
  <c r="W13" i="4"/>
  <c r="T16" i="4"/>
  <c r="G15" i="4"/>
  <c r="G13" i="4"/>
  <c r="T14" i="4"/>
  <c r="T15" i="4"/>
  <c r="T13" i="4"/>
  <c r="W16" i="4"/>
  <c r="W15" i="4"/>
  <c r="J15" i="4"/>
  <c r="J14" i="4"/>
  <c r="J16" i="4"/>
  <c r="J13" i="4"/>
</calcChain>
</file>

<file path=xl/sharedStrings.xml><?xml version="1.0" encoding="utf-8"?>
<sst xmlns="http://schemas.openxmlformats.org/spreadsheetml/2006/main" count="544" uniqueCount="85">
  <si>
    <t>Домакин</t>
  </si>
  <si>
    <t>Гост</t>
  </si>
  <si>
    <t>Група А</t>
  </si>
  <si>
    <t>Група В</t>
  </si>
  <si>
    <t>Група C</t>
  </si>
  <si>
    <t>Група D</t>
  </si>
  <si>
    <t>№</t>
  </si>
  <si>
    <t>Отбор</t>
  </si>
  <si>
    <t>М</t>
  </si>
  <si>
    <t>П</t>
  </si>
  <si>
    <t>З</t>
  </si>
  <si>
    <t>Геймове</t>
  </si>
  <si>
    <t>Г.съотн.</t>
  </si>
  <si>
    <t>Т.съотн.</t>
  </si>
  <si>
    <t>Т</t>
  </si>
  <si>
    <t>Група С</t>
  </si>
  <si>
    <t>Полша</t>
  </si>
  <si>
    <t xml:space="preserve">САЩ </t>
  </si>
  <si>
    <t>Мексико</t>
  </si>
  <si>
    <t>България</t>
  </si>
  <si>
    <t>Мач</t>
  </si>
  <si>
    <t>Дата</t>
  </si>
  <si>
    <t>Час</t>
  </si>
  <si>
    <t>Отбори</t>
  </si>
  <si>
    <t>1-ви гейм</t>
  </si>
  <si>
    <t>2-ри гейм</t>
  </si>
  <si>
    <t>3-ти гейм</t>
  </si>
  <si>
    <t>4-ти гейм</t>
  </si>
  <si>
    <t>5-ти гейм</t>
  </si>
  <si>
    <t>Групи</t>
  </si>
  <si>
    <t>Спеч.Г</t>
  </si>
  <si>
    <t>Заг.Г</t>
  </si>
  <si>
    <t>Спеч.Т</t>
  </si>
  <si>
    <t>Заг.Т</t>
  </si>
  <si>
    <t>Четвъртфинали</t>
  </si>
  <si>
    <t>Елиминация</t>
  </si>
  <si>
    <t>Група 1</t>
  </si>
  <si>
    <t>Група 2</t>
  </si>
  <si>
    <t>Група 3</t>
  </si>
  <si>
    <t>Група 4</t>
  </si>
  <si>
    <t>3ТО МЯСТО</t>
  </si>
  <si>
    <t>Четвъртфинал- Група 1</t>
  </si>
  <si>
    <t>Четвъртфинал- Група 2</t>
  </si>
  <si>
    <t>Четвъртфинал- Група 3</t>
  </si>
  <si>
    <t>Четвъртфинал- Група 4</t>
  </si>
  <si>
    <t>Полуфинал - Група 2</t>
  </si>
  <si>
    <t>Полуфинал - Група 1</t>
  </si>
  <si>
    <t>Полуфинали</t>
  </si>
  <si>
    <t>Финали</t>
  </si>
  <si>
    <t>Малък Финал</t>
  </si>
  <si>
    <t xml:space="preserve"> Финал</t>
  </si>
  <si>
    <t>Сърбия</t>
  </si>
  <si>
    <t>Украйна</t>
  </si>
  <si>
    <t>Тунис</t>
  </si>
  <si>
    <t>Пуерто Рико</t>
  </si>
  <si>
    <t>Бразилия</t>
  </si>
  <si>
    <t>Катар</t>
  </si>
  <si>
    <t>Куба</t>
  </si>
  <si>
    <t>Япония</t>
  </si>
  <si>
    <t>Франция</t>
  </si>
  <si>
    <t>Словения</t>
  </si>
  <si>
    <t>Германия</t>
  </si>
  <si>
    <t>Камерун</t>
  </si>
  <si>
    <t>Easter Egg</t>
  </si>
  <si>
    <t>Статистика - Групи</t>
  </si>
  <si>
    <t>Плейофи</t>
  </si>
  <si>
    <t>Финално класиране</t>
  </si>
  <si>
    <t>← Назад</t>
  </si>
  <si>
    <t>Италия</t>
  </si>
  <si>
    <t>САЩ</t>
  </si>
  <si>
    <t>Турция</t>
  </si>
  <si>
    <t>Канада</t>
  </si>
  <si>
    <t>Китай</t>
  </si>
  <si>
    <t>Нидерландия</t>
  </si>
  <si>
    <t>Аржентина</t>
  </si>
  <si>
    <t>Иран</t>
  </si>
  <si>
    <t>Египет</t>
  </si>
  <si>
    <t>-</t>
  </si>
  <si>
    <t>Който намери това гледа внимателно проекта ми. Благодаря!</t>
  </si>
  <si>
    <t>Световно първенство по волейбол</t>
  </si>
  <si>
    <t>Програма</t>
  </si>
  <si>
    <t>Резултати</t>
  </si>
  <si>
    <t>Класиране</t>
  </si>
  <si>
    <t>Проект по Информационни технологии на Борис Нейчев 11б клас</t>
  </si>
  <si>
    <t>pass:123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</si>
</sst>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47E]hh:mm;@"/>
  </numFmts>
  <fonts count="25" x14ac:knownFonts="1"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72"/>
      <color theme="1"/>
      <name val="Algerian"/>
      <family val="5"/>
    </font>
    <font>
      <sz val="22"/>
      <color theme="1"/>
      <name val="Algerian"/>
      <family val="5"/>
    </font>
    <font>
      <sz val="18"/>
      <color theme="1"/>
      <name val="Calibri"/>
      <family val="2"/>
      <charset val="204"/>
      <scheme val="minor"/>
    </font>
    <font>
      <sz val="72"/>
      <color theme="1"/>
      <name val="Aharoni"/>
      <charset val="177"/>
    </font>
    <font>
      <sz val="22"/>
      <color theme="1"/>
      <name val="Aharoni"/>
      <charset val="177"/>
    </font>
    <font>
      <sz val="11"/>
      <color theme="1"/>
      <name val="Abadi Extra Light"/>
      <family val="2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sz val="72"/>
      <color theme="1"/>
      <name val="Aharoni"/>
    </font>
    <font>
      <sz val="22"/>
      <color theme="1"/>
      <name val="Calibri"/>
      <family val="2"/>
      <charset val="204"/>
      <scheme val="minor"/>
    </font>
    <font>
      <sz val="22"/>
      <color theme="1"/>
      <name val="Aharoni"/>
    </font>
    <font>
      <b/>
      <i/>
      <u/>
      <sz val="11"/>
      <color rgb="FF00B05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sz val="150"/>
      <color theme="1"/>
      <name val="Calibri"/>
      <family val="2"/>
      <charset val="204"/>
      <scheme val="minor"/>
    </font>
    <font>
      <sz val="100"/>
      <color theme="1"/>
      <name val="Calibri"/>
      <family val="2"/>
      <charset val="204"/>
      <scheme val="minor"/>
    </font>
    <font>
      <sz val="78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11"/>
      <color theme="4" tint="0.59999389629810485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24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3" borderId="0" xfId="0" applyFill="1"/>
    <xf numFmtId="0" fontId="0" fillId="5" borderId="0" xfId="0" applyFill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24" fillId="3" borderId="0" xfId="0" applyFont="1" applyFill="1"/>
    <xf numFmtId="0" fontId="0" fillId="4" borderId="13" xfId="0" applyFill="1" applyBorder="1" applyProtection="1">
      <protection locked="0"/>
    </xf>
    <xf numFmtId="0" fontId="0" fillId="4" borderId="20" xfId="0" applyFill="1" applyBorder="1" applyProtection="1">
      <protection locked="0"/>
    </xf>
    <xf numFmtId="0" fontId="0" fillId="4" borderId="22" xfId="0" applyFill="1" applyBorder="1" applyProtection="1">
      <protection locked="0"/>
    </xf>
    <xf numFmtId="0" fontId="0" fillId="4" borderId="24" xfId="0" applyFill="1" applyBorder="1" applyProtection="1">
      <protection locked="0"/>
    </xf>
    <xf numFmtId="0" fontId="0" fillId="3" borderId="0" xfId="0" applyFill="1" applyProtection="1"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1" fillId="3" borderId="0" xfId="0" applyFont="1" applyFill="1" applyAlignment="1" applyProtection="1">
      <alignment vertical="center"/>
      <protection hidden="1"/>
    </xf>
    <xf numFmtId="0" fontId="1" fillId="5" borderId="0" xfId="0" applyFont="1" applyFill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3" borderId="28" xfId="0" applyFill="1" applyBorder="1" applyProtection="1">
      <protection hidden="1"/>
    </xf>
    <xf numFmtId="0" fontId="9" fillId="4" borderId="15" xfId="0" applyFont="1" applyFill="1" applyBorder="1" applyAlignment="1" applyProtection="1">
      <alignment horizontal="center" vertical="center"/>
      <protection hidden="1"/>
    </xf>
    <xf numFmtId="0" fontId="9" fillId="4" borderId="16" xfId="0" applyFont="1" applyFill="1" applyBorder="1" applyAlignment="1" applyProtection="1">
      <alignment horizontal="center" vertical="center"/>
      <protection hidden="1"/>
    </xf>
    <xf numFmtId="0" fontId="9" fillId="4" borderId="25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Protection="1">
      <protection hidden="1"/>
    </xf>
    <xf numFmtId="0" fontId="0" fillId="3" borderId="9" xfId="0" applyFill="1" applyBorder="1" applyProtection="1">
      <protection hidden="1"/>
    </xf>
    <xf numFmtId="0" fontId="0" fillId="4" borderId="19" xfId="0" applyFill="1" applyBorder="1" applyAlignment="1" applyProtection="1">
      <alignment horizontal="right"/>
      <protection hidden="1"/>
    </xf>
    <xf numFmtId="0" fontId="0" fillId="4" borderId="13" xfId="0" applyFill="1" applyBorder="1" applyAlignment="1" applyProtection="1">
      <alignment horizontal="center" vertical="center"/>
      <protection hidden="1"/>
    </xf>
    <xf numFmtId="0" fontId="0" fillId="4" borderId="13" xfId="0" applyFill="1" applyBorder="1" applyProtection="1">
      <protection hidden="1"/>
    </xf>
    <xf numFmtId="0" fontId="0" fillId="4" borderId="20" xfId="0" applyFill="1" applyBorder="1" applyProtection="1">
      <protection hidden="1"/>
    </xf>
    <xf numFmtId="0" fontId="0" fillId="4" borderId="19" xfId="0" applyFill="1" applyBorder="1" applyProtection="1">
      <protection hidden="1"/>
    </xf>
    <xf numFmtId="0" fontId="0" fillId="4" borderId="13" xfId="0" applyFill="1" applyBorder="1" applyAlignment="1" applyProtection="1">
      <alignment horizontal="center"/>
      <protection hidden="1"/>
    </xf>
    <xf numFmtId="0" fontId="0" fillId="4" borderId="21" xfId="0" applyFill="1" applyBorder="1" applyAlignment="1" applyProtection="1">
      <alignment horizontal="right"/>
      <protection hidden="1"/>
    </xf>
    <xf numFmtId="0" fontId="0" fillId="4" borderId="22" xfId="0" applyFill="1" applyBorder="1" applyAlignment="1" applyProtection="1">
      <alignment horizontal="center" vertical="center"/>
      <protection hidden="1"/>
    </xf>
    <xf numFmtId="0" fontId="0" fillId="4" borderId="22" xfId="0" applyFill="1" applyBorder="1" applyProtection="1">
      <protection hidden="1"/>
    </xf>
    <xf numFmtId="0" fontId="0" fillId="4" borderId="24" xfId="0" applyFill="1" applyBorder="1" applyAlignment="1" applyProtection="1">
      <alignment horizontal="right"/>
      <protection hidden="1"/>
    </xf>
    <xf numFmtId="0" fontId="0" fillId="4" borderId="21" xfId="0" applyFill="1" applyBorder="1" applyProtection="1">
      <protection hidden="1"/>
    </xf>
    <xf numFmtId="0" fontId="0" fillId="4" borderId="22" xfId="0" applyFill="1" applyBorder="1" applyAlignment="1" applyProtection="1">
      <alignment horizontal="center"/>
      <protection hidden="1"/>
    </xf>
    <xf numFmtId="0" fontId="0" fillId="3" borderId="10" xfId="0" applyFill="1" applyBorder="1" applyProtection="1">
      <protection hidden="1"/>
    </xf>
    <xf numFmtId="0" fontId="0" fillId="3" borderId="11" xfId="0" applyFill="1" applyBorder="1" applyProtection="1">
      <protection hidden="1"/>
    </xf>
    <xf numFmtId="0" fontId="0" fillId="3" borderId="29" xfId="0" applyFill="1" applyBorder="1" applyProtection="1">
      <protection hidden="1"/>
    </xf>
    <xf numFmtId="0" fontId="0" fillId="3" borderId="12" xfId="0" applyFill="1" applyBorder="1" applyProtection="1">
      <protection hidden="1"/>
    </xf>
    <xf numFmtId="0" fontId="0" fillId="3" borderId="43" xfId="0" applyFill="1" applyBorder="1" applyProtection="1">
      <protection hidden="1"/>
    </xf>
    <xf numFmtId="0" fontId="0" fillId="3" borderId="35" xfId="0" applyFill="1" applyBorder="1" applyProtection="1">
      <protection hidden="1"/>
    </xf>
    <xf numFmtId="0" fontId="0" fillId="2" borderId="42" xfId="0" applyFill="1" applyBorder="1" applyAlignment="1" applyProtection="1">
      <alignment horizontal="center"/>
      <protection hidden="1"/>
    </xf>
    <xf numFmtId="0" fontId="0" fillId="2" borderId="41" xfId="0" applyFill="1" applyBorder="1" applyAlignment="1" applyProtection="1">
      <alignment horizont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0" fillId="4" borderId="15" xfId="0" applyFont="1" applyFill="1" applyBorder="1" applyAlignment="1" applyProtection="1">
      <alignment horizontal="right" vertical="center"/>
      <protection hidden="1"/>
    </xf>
    <xf numFmtId="0" fontId="2" fillId="5" borderId="0" xfId="0" applyFont="1" applyFill="1" applyAlignment="1" applyProtection="1">
      <alignment vertical="center"/>
      <protection hidden="1"/>
    </xf>
    <xf numFmtId="0" fontId="0" fillId="3" borderId="0" xfId="0" applyFill="1" applyProtection="1">
      <protection locked="0" hidden="1"/>
    </xf>
    <xf numFmtId="0" fontId="0" fillId="4" borderId="26" xfId="0" applyFill="1" applyBorder="1" applyProtection="1">
      <protection hidden="1"/>
    </xf>
    <xf numFmtId="0" fontId="8" fillId="3" borderId="0" xfId="0" applyFont="1" applyFill="1" applyProtection="1">
      <protection hidden="1"/>
    </xf>
    <xf numFmtId="0" fontId="3" fillId="3" borderId="0" xfId="0" applyFont="1" applyFill="1" applyAlignment="1" applyProtection="1">
      <alignment horizontal="center" vertic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9" fillId="4" borderId="13" xfId="0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9" fillId="4" borderId="15" xfId="0" applyFont="1" applyFill="1" applyBorder="1" applyProtection="1">
      <protection hidden="1"/>
    </xf>
    <xf numFmtId="0" fontId="9" fillId="4" borderId="16" xfId="0" applyFont="1" applyFill="1" applyBorder="1" applyProtection="1">
      <protection hidden="1"/>
    </xf>
    <xf numFmtId="0" fontId="9" fillId="4" borderId="25" xfId="0" applyFont="1" applyFill="1" applyBorder="1" applyProtection="1">
      <protection hidden="1"/>
    </xf>
    <xf numFmtId="0" fontId="21" fillId="3" borderId="0" xfId="1" applyFont="1" applyFill="1" applyProtection="1">
      <protection hidden="1"/>
    </xf>
    <xf numFmtId="0" fontId="22" fillId="6" borderId="1" xfId="0" applyFont="1" applyFill="1" applyBorder="1" applyAlignment="1">
      <alignment horizontal="center"/>
    </xf>
    <xf numFmtId="0" fontId="22" fillId="6" borderId="2" xfId="0" applyFont="1" applyFill="1" applyBorder="1" applyAlignment="1">
      <alignment horizontal="center"/>
    </xf>
    <xf numFmtId="0" fontId="22" fillId="6" borderId="3" xfId="0" applyFont="1" applyFill="1" applyBorder="1" applyAlignment="1">
      <alignment horizontal="center"/>
    </xf>
    <xf numFmtId="0" fontId="22" fillId="6" borderId="6" xfId="0" applyFont="1" applyFill="1" applyBorder="1" applyAlignment="1">
      <alignment horizontal="center"/>
    </xf>
    <xf numFmtId="0" fontId="22" fillId="6" borderId="7" xfId="0" applyFont="1" applyFill="1" applyBorder="1" applyAlignment="1">
      <alignment horizontal="center"/>
    </xf>
    <xf numFmtId="0" fontId="22" fillId="6" borderId="8" xfId="0" applyFont="1" applyFill="1" applyBorder="1" applyAlignment="1">
      <alignment horizontal="center"/>
    </xf>
    <xf numFmtId="0" fontId="15" fillId="2" borderId="1" xfId="1" applyFill="1" applyBorder="1" applyAlignment="1">
      <alignment horizontal="center" vertical="center"/>
    </xf>
    <xf numFmtId="0" fontId="15" fillId="2" borderId="2" xfId="1" applyFill="1" applyBorder="1" applyAlignment="1">
      <alignment horizontal="center" vertical="center"/>
    </xf>
    <xf numFmtId="0" fontId="15" fillId="2" borderId="3" xfId="1" applyFill="1" applyBorder="1" applyAlignment="1">
      <alignment horizontal="center" vertical="center"/>
    </xf>
    <xf numFmtId="0" fontId="15" fillId="2" borderId="6" xfId="1" applyFill="1" applyBorder="1" applyAlignment="1">
      <alignment horizontal="center" vertical="center"/>
    </xf>
    <xf numFmtId="0" fontId="15" fillId="2" borderId="7" xfId="1" applyFill="1" applyBorder="1" applyAlignment="1">
      <alignment horizontal="center" vertical="center"/>
    </xf>
    <xf numFmtId="0" fontId="15" fillId="2" borderId="8" xfId="1" applyFill="1" applyBorder="1" applyAlignment="1">
      <alignment horizontal="center" vertical="center"/>
    </xf>
    <xf numFmtId="0" fontId="23" fillId="4" borderId="43" xfId="0" applyFont="1" applyFill="1" applyBorder="1" applyAlignment="1">
      <alignment horizontal="center"/>
    </xf>
    <xf numFmtId="0" fontId="23" fillId="4" borderId="44" xfId="0" applyFont="1" applyFill="1" applyBorder="1" applyAlignment="1">
      <alignment horizontal="center"/>
    </xf>
    <xf numFmtId="0" fontId="23" fillId="4" borderId="45" xfId="0" applyFont="1" applyFill="1" applyBorder="1" applyAlignment="1">
      <alignment horizontal="center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" xfId="0" applyFont="1" applyFill="1" applyBorder="1" applyAlignment="1" applyProtection="1">
      <alignment horizontal="center" vertical="center"/>
      <protection hidden="1"/>
    </xf>
    <xf numFmtId="0" fontId="12" fillId="2" borderId="6" xfId="0" applyFont="1" applyFill="1" applyBorder="1" applyAlignment="1" applyProtection="1">
      <alignment horizontal="center" vertical="center"/>
      <protection hidden="1"/>
    </xf>
    <xf numFmtId="0" fontId="12" fillId="2" borderId="7" xfId="0" applyFont="1" applyFill="1" applyBorder="1" applyAlignment="1" applyProtection="1">
      <alignment horizontal="center" vertical="center"/>
      <protection hidden="1"/>
    </xf>
    <xf numFmtId="0" fontId="12" fillId="2" borderId="8" xfId="0" applyFont="1" applyFill="1" applyBorder="1" applyAlignment="1" applyProtection="1">
      <alignment horizontal="center" vertical="center"/>
      <protection hidden="1"/>
    </xf>
    <xf numFmtId="0" fontId="9" fillId="4" borderId="16" xfId="0" applyFont="1" applyFill="1" applyBorder="1" applyAlignment="1" applyProtection="1">
      <alignment horizontal="center" vertical="center"/>
      <protection hidden="1"/>
    </xf>
    <xf numFmtId="0" fontId="9" fillId="4" borderId="16" xfId="0" applyFont="1" applyFill="1" applyBorder="1" applyAlignment="1" applyProtection="1">
      <alignment horizontal="center"/>
      <protection hidden="1"/>
    </xf>
    <xf numFmtId="0" fontId="9" fillId="4" borderId="25" xfId="0" applyFont="1" applyFill="1" applyBorder="1" applyAlignment="1" applyProtection="1">
      <alignment horizontal="center"/>
      <protection hidden="1"/>
    </xf>
    <xf numFmtId="14" fontId="0" fillId="4" borderId="22" xfId="0" applyNumberFormat="1" applyFill="1" applyBorder="1" applyAlignment="1" applyProtection="1">
      <alignment horizontal="center"/>
      <protection locked="0"/>
    </xf>
    <xf numFmtId="164" fontId="0" fillId="4" borderId="22" xfId="0" applyNumberFormat="1" applyFill="1" applyBorder="1" applyAlignment="1" applyProtection="1">
      <alignment horizontal="center"/>
      <protection locked="0"/>
    </xf>
    <xf numFmtId="0" fontId="0" fillId="4" borderId="22" xfId="0" applyFill="1" applyBorder="1" applyAlignment="1" applyProtection="1">
      <alignment horizontal="center"/>
      <protection hidden="1"/>
    </xf>
    <xf numFmtId="0" fontId="0" fillId="4" borderId="24" xfId="0" applyFill="1" applyBorder="1" applyAlignment="1" applyProtection="1">
      <alignment horizontal="center"/>
      <protection hidden="1"/>
    </xf>
    <xf numFmtId="0" fontId="12" fillId="6" borderId="1" xfId="0" applyFont="1" applyFill="1" applyBorder="1" applyAlignment="1" applyProtection="1">
      <alignment horizontal="center" vertical="center"/>
      <protection hidden="1"/>
    </xf>
    <xf numFmtId="0" fontId="12" fillId="6" borderId="2" xfId="0" applyFont="1" applyFill="1" applyBorder="1" applyAlignment="1" applyProtection="1">
      <alignment horizontal="center" vertical="center"/>
      <protection hidden="1"/>
    </xf>
    <xf numFmtId="0" fontId="12" fillId="6" borderId="3" xfId="0" applyFont="1" applyFill="1" applyBorder="1" applyAlignment="1" applyProtection="1">
      <alignment horizontal="center" vertical="center"/>
      <protection hidden="1"/>
    </xf>
    <xf numFmtId="0" fontId="12" fillId="6" borderId="4" xfId="0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Alignment="1" applyProtection="1">
      <alignment horizontal="center" vertical="center"/>
      <protection hidden="1"/>
    </xf>
    <xf numFmtId="0" fontId="12" fillId="6" borderId="5" xfId="0" applyFont="1" applyFill="1" applyBorder="1" applyAlignment="1" applyProtection="1">
      <alignment horizontal="center" vertical="center"/>
      <protection hidden="1"/>
    </xf>
    <xf numFmtId="0" fontId="12" fillId="6" borderId="6" xfId="0" applyFont="1" applyFill="1" applyBorder="1" applyAlignment="1" applyProtection="1">
      <alignment horizontal="center" vertical="center"/>
      <protection hidden="1"/>
    </xf>
    <xf numFmtId="0" fontId="12" fillId="6" borderId="7" xfId="0" applyFont="1" applyFill="1" applyBorder="1" applyAlignment="1" applyProtection="1">
      <alignment horizontal="center" vertical="center"/>
      <protection hidden="1"/>
    </xf>
    <xf numFmtId="0" fontId="12" fillId="6" borderId="8" xfId="0" applyFont="1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/>
      <protection hidden="1"/>
    </xf>
    <xf numFmtId="0" fontId="0" fillId="4" borderId="20" xfId="0" applyFill="1" applyBorder="1" applyAlignment="1" applyProtection="1">
      <alignment horizontal="center"/>
      <protection hidden="1"/>
    </xf>
    <xf numFmtId="0" fontId="9" fillId="4" borderId="13" xfId="0" applyFont="1" applyFill="1" applyBorder="1" applyAlignment="1" applyProtection="1">
      <alignment horizontal="center"/>
      <protection hidden="1"/>
    </xf>
    <xf numFmtId="14" fontId="0" fillId="4" borderId="13" xfId="0" applyNumberFormat="1" applyFill="1" applyBorder="1" applyAlignment="1" applyProtection="1">
      <alignment horizontal="center"/>
      <protection locked="0"/>
    </xf>
    <xf numFmtId="164" fontId="0" fillId="4" borderId="13" xfId="0" applyNumberFormat="1" applyFill="1" applyBorder="1" applyAlignment="1" applyProtection="1">
      <alignment horizontal="center"/>
      <protection locked="0"/>
    </xf>
    <xf numFmtId="0" fontId="6" fillId="6" borderId="1" xfId="0" applyFont="1" applyFill="1" applyBorder="1" applyAlignment="1" applyProtection="1">
      <alignment horizontal="center" vertical="center"/>
      <protection hidden="1"/>
    </xf>
    <xf numFmtId="0" fontId="6" fillId="6" borderId="2" xfId="0" applyFont="1" applyFill="1" applyBorder="1" applyAlignment="1" applyProtection="1">
      <alignment horizontal="center" vertical="center"/>
      <protection hidden="1"/>
    </xf>
    <xf numFmtId="0" fontId="6" fillId="6" borderId="3" xfId="0" applyFont="1" applyFill="1" applyBorder="1" applyAlignment="1" applyProtection="1">
      <alignment horizontal="center" vertical="center"/>
      <protection hidden="1"/>
    </xf>
    <xf numFmtId="0" fontId="6" fillId="6" borderId="4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0" fontId="6" fillId="6" borderId="5" xfId="0" applyFont="1" applyFill="1" applyBorder="1" applyAlignment="1" applyProtection="1">
      <alignment horizontal="center" vertical="center"/>
      <protection hidden="1"/>
    </xf>
    <xf numFmtId="0" fontId="6" fillId="6" borderId="6" xfId="0" applyFont="1" applyFill="1" applyBorder="1" applyAlignment="1" applyProtection="1">
      <alignment horizontal="center" vertical="center"/>
      <protection hidden="1"/>
    </xf>
    <xf numFmtId="0" fontId="6" fillId="6" borderId="7" xfId="0" applyFont="1" applyFill="1" applyBorder="1" applyAlignment="1" applyProtection="1">
      <alignment horizontal="center" vertical="center"/>
      <protection hidden="1"/>
    </xf>
    <xf numFmtId="0" fontId="6" fillId="6" borderId="8" xfId="0" applyFont="1" applyFill="1" applyBorder="1" applyAlignment="1" applyProtection="1">
      <alignment horizontal="center" vertical="center"/>
      <protection hidden="1"/>
    </xf>
    <xf numFmtId="0" fontId="13" fillId="2" borderId="1" xfId="0" applyFont="1" applyFill="1" applyBorder="1" applyAlignment="1" applyProtection="1">
      <alignment horizontal="center" vertical="center"/>
      <protection hidden="1"/>
    </xf>
    <xf numFmtId="0" fontId="13" fillId="2" borderId="2" xfId="0" applyFont="1" applyFill="1" applyBorder="1" applyAlignment="1" applyProtection="1">
      <alignment horizontal="center" vertical="center"/>
      <protection hidden="1"/>
    </xf>
    <xf numFmtId="0" fontId="13" fillId="2" borderId="3" xfId="0" applyFont="1" applyFill="1" applyBorder="1" applyAlignment="1" applyProtection="1">
      <alignment horizontal="center" vertical="center"/>
      <protection hidden="1"/>
    </xf>
    <xf numFmtId="0" fontId="13" fillId="2" borderId="6" xfId="0" applyFont="1" applyFill="1" applyBorder="1" applyAlignment="1" applyProtection="1">
      <alignment horizontal="center" vertical="center"/>
      <protection hidden="1"/>
    </xf>
    <xf numFmtId="0" fontId="13" fillId="2" borderId="7" xfId="0" applyFont="1" applyFill="1" applyBorder="1" applyAlignment="1" applyProtection="1">
      <alignment horizontal="center" vertical="center"/>
      <protection hidden="1"/>
    </xf>
    <xf numFmtId="0" fontId="13" fillId="2" borderId="8" xfId="0" applyFont="1" applyFill="1" applyBorder="1" applyAlignment="1" applyProtection="1">
      <alignment horizontal="center" vertical="center"/>
      <protection hidden="1"/>
    </xf>
    <xf numFmtId="0" fontId="9" fillId="4" borderId="13" xfId="0" applyFont="1" applyFill="1" applyBorder="1" applyAlignment="1" applyProtection="1">
      <alignment horizontal="center" vertical="center"/>
      <protection hidden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2" borderId="2" xfId="0" applyFont="1" applyFill="1" applyBorder="1" applyAlignment="1" applyProtection="1">
      <alignment horizontal="center" vertical="center"/>
      <protection hidden="1"/>
    </xf>
    <xf numFmtId="0" fontId="1" fillId="2" borderId="3" xfId="0" applyFont="1" applyFill="1" applyBorder="1" applyAlignment="1" applyProtection="1">
      <alignment horizontal="center" vertical="center"/>
      <protection hidden="1"/>
    </xf>
    <xf numFmtId="0" fontId="1" fillId="2" borderId="6" xfId="0" applyFont="1" applyFill="1" applyBorder="1" applyAlignment="1" applyProtection="1">
      <alignment horizontal="center" vertical="center"/>
      <protection hidden="1"/>
    </xf>
    <xf numFmtId="0" fontId="1" fillId="2" borderId="7" xfId="0" applyFont="1" applyFill="1" applyBorder="1" applyAlignment="1" applyProtection="1">
      <alignment horizontal="center" vertical="center"/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 vertical="center"/>
      <protection hidden="1"/>
    </xf>
    <xf numFmtId="0" fontId="4" fillId="2" borderId="2" xfId="0" applyFont="1" applyFill="1" applyBorder="1" applyAlignment="1" applyProtection="1">
      <alignment horizontal="center" vertical="center"/>
      <protection hidden="1"/>
    </xf>
    <xf numFmtId="0" fontId="4" fillId="2" borderId="3" xfId="0" applyFont="1" applyFill="1" applyBorder="1" applyAlignment="1" applyProtection="1">
      <alignment horizontal="center" vertical="center"/>
      <protection hidden="1"/>
    </xf>
    <xf numFmtId="0" fontId="4" fillId="2" borderId="6" xfId="0" applyFont="1" applyFill="1" applyBorder="1" applyAlignment="1" applyProtection="1">
      <alignment horizontal="center" vertical="center"/>
      <protection hidden="1"/>
    </xf>
    <xf numFmtId="0" fontId="4" fillId="2" borderId="7" xfId="0" applyFont="1" applyFill="1" applyBorder="1" applyAlignment="1" applyProtection="1">
      <alignment horizontal="center" vertical="center"/>
      <protection hidden="1"/>
    </xf>
    <xf numFmtId="0" fontId="4" fillId="2" borderId="8" xfId="0" applyFont="1" applyFill="1" applyBorder="1" applyAlignment="1" applyProtection="1">
      <alignment horizontal="center" vertical="center"/>
      <protection hidden="1"/>
    </xf>
    <xf numFmtId="0" fontId="11" fillId="6" borderId="1" xfId="0" applyFont="1" applyFill="1" applyBorder="1" applyAlignment="1" applyProtection="1">
      <alignment horizontal="center" vertical="center"/>
      <protection hidden="1"/>
    </xf>
    <xf numFmtId="0" fontId="11" fillId="6" borderId="2" xfId="0" applyFont="1" applyFill="1" applyBorder="1" applyAlignment="1" applyProtection="1">
      <alignment horizontal="center" vertical="center"/>
      <protection hidden="1"/>
    </xf>
    <xf numFmtId="0" fontId="11" fillId="6" borderId="3" xfId="0" applyFont="1" applyFill="1" applyBorder="1" applyAlignment="1" applyProtection="1">
      <alignment horizontal="center" vertical="center"/>
      <protection hidden="1"/>
    </xf>
    <xf numFmtId="0" fontId="11" fillId="6" borderId="4" xfId="0" applyFont="1" applyFill="1" applyBorder="1" applyAlignment="1" applyProtection="1">
      <alignment horizontal="center" vertical="center"/>
      <protection hidden="1"/>
    </xf>
    <xf numFmtId="0" fontId="11" fillId="6" borderId="0" xfId="0" applyFont="1" applyFill="1" applyAlignment="1" applyProtection="1">
      <alignment horizontal="center" vertical="center"/>
      <protection hidden="1"/>
    </xf>
    <xf numFmtId="0" fontId="11" fillId="6" borderId="5" xfId="0" applyFont="1" applyFill="1" applyBorder="1" applyAlignment="1" applyProtection="1">
      <alignment horizontal="center" vertical="center"/>
      <protection hidden="1"/>
    </xf>
    <xf numFmtId="0" fontId="11" fillId="6" borderId="6" xfId="0" applyFont="1" applyFill="1" applyBorder="1" applyAlignment="1" applyProtection="1">
      <alignment horizontal="center" vertical="center"/>
      <protection hidden="1"/>
    </xf>
    <xf numFmtId="0" fontId="11" fillId="6" borderId="7" xfId="0" applyFont="1" applyFill="1" applyBorder="1" applyAlignment="1" applyProtection="1">
      <alignment horizontal="center" vertical="center"/>
      <protection hidden="1"/>
    </xf>
    <xf numFmtId="0" fontId="11" fillId="6" borderId="8" xfId="0" applyFont="1" applyFill="1" applyBorder="1" applyAlignment="1" applyProtection="1">
      <alignment horizontal="center" vertical="center"/>
      <protection hidden="1"/>
    </xf>
    <xf numFmtId="0" fontId="7" fillId="6" borderId="1" xfId="0" applyFont="1" applyFill="1" applyBorder="1" applyAlignment="1" applyProtection="1">
      <alignment horizontal="center" vertical="center"/>
      <protection hidden="1"/>
    </xf>
    <xf numFmtId="0" fontId="7" fillId="6" borderId="2" xfId="0" applyFont="1" applyFill="1" applyBorder="1" applyAlignment="1" applyProtection="1">
      <alignment horizontal="center" vertical="center"/>
      <protection hidden="1"/>
    </xf>
    <xf numFmtId="0" fontId="7" fillId="6" borderId="3" xfId="0" applyFont="1" applyFill="1" applyBorder="1" applyAlignment="1" applyProtection="1">
      <alignment horizontal="center" vertical="center"/>
      <protection hidden="1"/>
    </xf>
    <xf numFmtId="0" fontId="7" fillId="6" borderId="4" xfId="0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7" fillId="6" borderId="5" xfId="0" applyFont="1" applyFill="1" applyBorder="1" applyAlignment="1" applyProtection="1">
      <alignment horizontal="center" vertical="center"/>
      <protection hidden="1"/>
    </xf>
    <xf numFmtId="0" fontId="7" fillId="6" borderId="6" xfId="0" applyFont="1" applyFill="1" applyBorder="1" applyAlignment="1" applyProtection="1">
      <alignment horizontal="center" vertical="center"/>
      <protection hidden="1"/>
    </xf>
    <xf numFmtId="0" fontId="7" fillId="6" borderId="7" xfId="0" applyFont="1" applyFill="1" applyBorder="1" applyAlignment="1" applyProtection="1">
      <alignment horizontal="center" vertical="center"/>
      <protection hidden="1"/>
    </xf>
    <xf numFmtId="0" fontId="7" fillId="6" borderId="8" xfId="0" applyFont="1" applyFill="1" applyBorder="1" applyAlignment="1" applyProtection="1">
      <alignment horizontal="center" vertical="center"/>
      <protection hidden="1"/>
    </xf>
    <xf numFmtId="164" fontId="0" fillId="4" borderId="14" xfId="0" applyNumberFormat="1" applyFill="1" applyBorder="1" applyAlignment="1" applyProtection="1">
      <alignment horizontal="center"/>
      <protection locked="0"/>
    </xf>
    <xf numFmtId="164" fontId="0" fillId="4" borderId="23" xfId="0" applyNumberFormat="1" applyFill="1" applyBorder="1" applyAlignment="1" applyProtection="1">
      <alignment horizontal="center"/>
      <protection locked="0"/>
    </xf>
    <xf numFmtId="0" fontId="9" fillId="4" borderId="17" xfId="0" applyFont="1" applyFill="1" applyBorder="1" applyAlignment="1" applyProtection="1">
      <alignment horizontal="center"/>
      <protection hidden="1"/>
    </xf>
    <xf numFmtId="0" fontId="9" fillId="4" borderId="18" xfId="0" applyFont="1" applyFill="1" applyBorder="1" applyAlignment="1" applyProtection="1">
      <alignment horizontal="center"/>
      <protection hidden="1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20" xfId="0" applyFill="1" applyBorder="1" applyAlignment="1" applyProtection="1">
      <alignment horizontal="center"/>
      <protection locked="0"/>
    </xf>
    <xf numFmtId="0" fontId="0" fillId="4" borderId="22" xfId="0" applyFill="1" applyBorder="1" applyAlignment="1" applyProtection="1">
      <alignment horizontal="center"/>
      <protection locked="0"/>
    </xf>
    <xf numFmtId="0" fontId="0" fillId="4" borderId="24" xfId="0" applyFill="1" applyBorder="1" applyAlignment="1" applyProtection="1">
      <alignment horizontal="center"/>
      <protection locked="0"/>
    </xf>
    <xf numFmtId="0" fontId="0" fillId="4" borderId="27" xfId="0" applyFill="1" applyBorder="1" applyAlignment="1" applyProtection="1">
      <alignment horizontal="center"/>
      <protection locked="0"/>
    </xf>
    <xf numFmtId="0" fontId="15" fillId="7" borderId="1" xfId="1" applyFill="1" applyBorder="1" applyAlignment="1" applyProtection="1">
      <alignment horizontal="center" vertical="center"/>
      <protection hidden="1"/>
    </xf>
    <xf numFmtId="0" fontId="15" fillId="7" borderId="3" xfId="1" applyFill="1" applyBorder="1" applyAlignment="1" applyProtection="1">
      <alignment horizontal="center" vertical="center"/>
      <protection hidden="1"/>
    </xf>
    <xf numFmtId="0" fontId="15" fillId="7" borderId="6" xfId="1" applyFill="1" applyBorder="1" applyAlignment="1" applyProtection="1">
      <alignment horizontal="center" vertical="center"/>
      <protection hidden="1"/>
    </xf>
    <xf numFmtId="0" fontId="15" fillId="7" borderId="8" xfId="1" applyFill="1" applyBorder="1" applyAlignment="1" applyProtection="1">
      <alignment horizontal="center" vertical="center"/>
      <protection hidden="1"/>
    </xf>
    <xf numFmtId="14" fontId="0" fillId="4" borderId="13" xfId="0" applyNumberFormat="1" applyFill="1" applyBorder="1" applyAlignment="1" applyProtection="1">
      <alignment horizontal="center" vertical="center"/>
      <protection hidden="1"/>
    </xf>
    <xf numFmtId="14" fontId="0" fillId="4" borderId="22" xfId="0" applyNumberFormat="1" applyFill="1" applyBorder="1" applyAlignment="1" applyProtection="1">
      <alignment horizontal="center" vertical="center"/>
      <protection hidden="1"/>
    </xf>
    <xf numFmtId="164" fontId="0" fillId="4" borderId="13" xfId="0" applyNumberFormat="1" applyFill="1" applyBorder="1" applyAlignment="1" applyProtection="1">
      <alignment horizontal="center" vertical="center"/>
      <protection hidden="1"/>
    </xf>
    <xf numFmtId="164" fontId="0" fillId="4" borderId="22" xfId="0" applyNumberFormat="1" applyFill="1" applyBorder="1" applyAlignment="1" applyProtection="1">
      <alignment horizontal="center" vertical="center"/>
      <protection hidden="1"/>
    </xf>
    <xf numFmtId="0" fontId="0" fillId="4" borderId="19" xfId="0" applyFill="1" applyBorder="1" applyAlignment="1" applyProtection="1">
      <alignment horizontal="center" vertical="center"/>
      <protection hidden="1"/>
    </xf>
    <xf numFmtId="0" fontId="0" fillId="4" borderId="21" xfId="0" applyFill="1" applyBorder="1" applyAlignment="1" applyProtection="1">
      <alignment horizontal="center" vertical="center"/>
      <protection hidden="1"/>
    </xf>
    <xf numFmtId="0" fontId="14" fillId="6" borderId="0" xfId="0" applyFont="1" applyFill="1" applyAlignment="1">
      <alignment horizontal="center" vertical="center" wrapText="1"/>
    </xf>
    <xf numFmtId="0" fontId="0" fillId="2" borderId="15" xfId="0" applyFill="1" applyBorder="1" applyAlignment="1" applyProtection="1">
      <alignment horizontal="center"/>
      <protection hidden="1"/>
    </xf>
    <xf numFmtId="0" fontId="0" fillId="2" borderId="19" xfId="0" applyFill="1" applyBorder="1" applyAlignment="1" applyProtection="1">
      <alignment horizontal="center"/>
      <protection hidden="1"/>
    </xf>
    <xf numFmtId="0" fontId="1" fillId="2" borderId="16" xfId="0" applyFont="1" applyFill="1" applyBorder="1" applyAlignment="1" applyProtection="1">
      <alignment horizontal="center" vertical="center"/>
      <protection hidden="1"/>
    </xf>
    <xf numFmtId="0" fontId="1" fillId="2" borderId="13" xfId="0" applyFont="1" applyFill="1" applyBorder="1" applyAlignment="1" applyProtection="1">
      <alignment horizontal="center" vertical="center"/>
      <protection hidden="1"/>
    </xf>
    <xf numFmtId="0" fontId="1" fillId="2" borderId="25" xfId="0" applyFont="1" applyFill="1" applyBorder="1" applyAlignment="1" applyProtection="1">
      <alignment horizontal="center" vertical="center"/>
      <protection hidden="1"/>
    </xf>
    <xf numFmtId="0" fontId="1" fillId="2" borderId="20" xfId="0" applyFont="1" applyFill="1" applyBorder="1" applyAlignment="1" applyProtection="1">
      <alignment horizontal="center" vertical="center"/>
      <protection hidden="1"/>
    </xf>
    <xf numFmtId="0" fontId="0" fillId="2" borderId="22" xfId="0" applyFill="1" applyBorder="1" applyAlignment="1" applyProtection="1">
      <alignment horizontal="center"/>
      <protection hidden="1"/>
    </xf>
    <xf numFmtId="0" fontId="0" fillId="2" borderId="21" xfId="0" applyFill="1" applyBorder="1" applyAlignment="1" applyProtection="1">
      <alignment horizontal="center"/>
      <protection hidden="1"/>
    </xf>
    <xf numFmtId="0" fontId="1" fillId="2" borderId="22" xfId="0" applyFont="1" applyFill="1" applyBorder="1" applyAlignment="1" applyProtection="1">
      <alignment horizontal="center" vertical="center"/>
      <protection hidden="1"/>
    </xf>
    <xf numFmtId="0" fontId="1" fillId="2" borderId="24" xfId="0" applyFont="1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 vertical="center"/>
      <protection hidden="1"/>
    </xf>
    <xf numFmtId="0" fontId="5" fillId="6" borderId="2" xfId="0" applyFont="1" applyFill="1" applyBorder="1" applyAlignment="1" applyProtection="1">
      <alignment horizontal="center" vertical="center"/>
      <protection hidden="1"/>
    </xf>
    <xf numFmtId="0" fontId="5" fillId="6" borderId="3" xfId="0" applyFont="1" applyFill="1" applyBorder="1" applyAlignment="1" applyProtection="1">
      <alignment horizontal="center" vertical="center"/>
      <protection hidden="1"/>
    </xf>
    <xf numFmtId="0" fontId="5" fillId="6" borderId="6" xfId="0" applyFont="1" applyFill="1" applyBorder="1" applyAlignment="1" applyProtection="1">
      <alignment horizontal="center" vertical="center"/>
      <protection hidden="1"/>
    </xf>
    <xf numFmtId="0" fontId="5" fillId="6" borderId="7" xfId="0" applyFont="1" applyFill="1" applyBorder="1" applyAlignment="1" applyProtection="1">
      <alignment horizontal="center" vertical="center"/>
      <protection hidden="1"/>
    </xf>
    <xf numFmtId="0" fontId="5" fillId="6" borderId="8" xfId="0" applyFont="1" applyFill="1" applyBorder="1" applyAlignment="1" applyProtection="1">
      <alignment horizontal="center" vertical="center"/>
      <protection hidden="1"/>
    </xf>
    <xf numFmtId="0" fontId="1" fillId="2" borderId="15" xfId="0" applyFont="1" applyFill="1" applyBorder="1" applyAlignment="1" applyProtection="1">
      <alignment horizontal="center" vertical="center"/>
      <protection hidden="1"/>
    </xf>
    <xf numFmtId="0" fontId="1" fillId="2" borderId="21" xfId="0" applyFont="1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20" fillId="8" borderId="1" xfId="0" applyFont="1" applyFill="1" applyBorder="1" applyAlignment="1" applyProtection="1">
      <alignment horizontal="center"/>
      <protection hidden="1"/>
    </xf>
    <xf numFmtId="0" fontId="20" fillId="8" borderId="2" xfId="0" applyFont="1" applyFill="1" applyBorder="1" applyAlignment="1" applyProtection="1">
      <alignment horizontal="center"/>
      <protection hidden="1"/>
    </xf>
    <xf numFmtId="0" fontId="20" fillId="8" borderId="3" xfId="0" applyFont="1" applyFill="1" applyBorder="1" applyAlignment="1" applyProtection="1">
      <alignment horizontal="center"/>
      <protection hidden="1"/>
    </xf>
    <xf numFmtId="0" fontId="20" fillId="8" borderId="4" xfId="0" applyFont="1" applyFill="1" applyBorder="1" applyAlignment="1" applyProtection="1">
      <alignment horizontal="center"/>
      <protection hidden="1"/>
    </xf>
    <xf numFmtId="0" fontId="20" fillId="8" borderId="0" xfId="0" applyFont="1" applyFill="1" applyAlignment="1" applyProtection="1">
      <alignment horizontal="center"/>
      <protection hidden="1"/>
    </xf>
    <xf numFmtId="0" fontId="20" fillId="8" borderId="5" xfId="0" applyFont="1" applyFill="1" applyBorder="1" applyAlignment="1" applyProtection="1">
      <alignment horizontal="center"/>
      <protection hidden="1"/>
    </xf>
    <xf numFmtId="0" fontId="17" fillId="6" borderId="29" xfId="0" applyFont="1" applyFill="1" applyBorder="1" applyAlignment="1" applyProtection="1">
      <alignment horizontal="center"/>
      <protection hidden="1"/>
    </xf>
    <xf numFmtId="0" fontId="17" fillId="6" borderId="0" xfId="0" applyFont="1" applyFill="1" applyAlignment="1" applyProtection="1">
      <alignment horizontal="center"/>
      <protection hidden="1"/>
    </xf>
    <xf numFmtId="0" fontId="17" fillId="6" borderId="36" xfId="0" applyFont="1" applyFill="1" applyBorder="1" applyAlignment="1" applyProtection="1">
      <alignment horizontal="center"/>
      <protection hidden="1"/>
    </xf>
    <xf numFmtId="0" fontId="17" fillId="6" borderId="37" xfId="0" applyFont="1" applyFill="1" applyBorder="1" applyAlignment="1" applyProtection="1">
      <alignment horizontal="center"/>
      <protection hidden="1"/>
    </xf>
    <xf numFmtId="0" fontId="17" fillId="6" borderId="39" xfId="0" applyFont="1" applyFill="1" applyBorder="1" applyAlignment="1" applyProtection="1">
      <alignment horizontal="center"/>
      <protection hidden="1"/>
    </xf>
    <xf numFmtId="0" fontId="17" fillId="6" borderId="31" xfId="0" applyFont="1" applyFill="1" applyBorder="1" applyAlignment="1" applyProtection="1">
      <alignment horizontal="center"/>
      <protection hidden="1"/>
    </xf>
    <xf numFmtId="0" fontId="17" fillId="6" borderId="40" xfId="0" applyFont="1" applyFill="1" applyBorder="1" applyAlignment="1" applyProtection="1">
      <alignment horizontal="center"/>
      <protection hidden="1"/>
    </xf>
    <xf numFmtId="0" fontId="18" fillId="6" borderId="30" xfId="0" applyFont="1" applyFill="1" applyBorder="1" applyAlignment="1" applyProtection="1">
      <alignment horizontal="center"/>
      <protection hidden="1"/>
    </xf>
    <xf numFmtId="0" fontId="18" fillId="6" borderId="29" xfId="0" applyFont="1" applyFill="1" applyBorder="1" applyAlignment="1" applyProtection="1">
      <alignment horizontal="center"/>
      <protection hidden="1"/>
    </xf>
    <xf numFmtId="0" fontId="18" fillId="6" borderId="12" xfId="0" applyFont="1" applyFill="1" applyBorder="1" applyAlignment="1" applyProtection="1">
      <alignment horizontal="center"/>
      <protection hidden="1"/>
    </xf>
    <xf numFmtId="0" fontId="18" fillId="6" borderId="0" xfId="0" applyFont="1" applyFill="1" applyAlignment="1" applyProtection="1">
      <alignment horizontal="center"/>
      <protection hidden="1"/>
    </xf>
    <xf numFmtId="0" fontId="18" fillId="6" borderId="10" xfId="0" applyFont="1" applyFill="1" applyBorder="1" applyAlignment="1" applyProtection="1">
      <alignment horizontal="center"/>
      <protection hidden="1"/>
    </xf>
    <xf numFmtId="0" fontId="18" fillId="6" borderId="31" xfId="0" applyFont="1" applyFill="1" applyBorder="1" applyAlignment="1" applyProtection="1">
      <alignment horizontal="center"/>
      <protection hidden="1"/>
    </xf>
    <xf numFmtId="0" fontId="20" fillId="10" borderId="1" xfId="0" applyFont="1" applyFill="1" applyBorder="1" applyAlignment="1" applyProtection="1">
      <alignment horizontal="center"/>
      <protection hidden="1"/>
    </xf>
    <xf numFmtId="0" fontId="20" fillId="10" borderId="2" xfId="0" applyFont="1" applyFill="1" applyBorder="1" applyAlignment="1" applyProtection="1">
      <alignment horizontal="center"/>
      <protection hidden="1"/>
    </xf>
    <xf numFmtId="0" fontId="20" fillId="10" borderId="33" xfId="0" applyFont="1" applyFill="1" applyBorder="1" applyAlignment="1" applyProtection="1">
      <alignment horizontal="center"/>
      <protection hidden="1"/>
    </xf>
    <xf numFmtId="0" fontId="20" fillId="10" borderId="4" xfId="0" applyFont="1" applyFill="1" applyBorder="1" applyAlignment="1" applyProtection="1">
      <alignment horizontal="center"/>
      <protection hidden="1"/>
    </xf>
    <xf numFmtId="0" fontId="20" fillId="10" borderId="0" xfId="0" applyFont="1" applyFill="1" applyAlignment="1" applyProtection="1">
      <alignment horizontal="center"/>
      <protection hidden="1"/>
    </xf>
    <xf numFmtId="0" fontId="20" fillId="10" borderId="9" xfId="0" applyFont="1" applyFill="1" applyBorder="1" applyAlignment="1" applyProtection="1">
      <alignment horizontal="center"/>
      <protection hidden="1"/>
    </xf>
    <xf numFmtId="0" fontId="20" fillId="10" borderId="34" xfId="0" applyFont="1" applyFill="1" applyBorder="1" applyAlignment="1" applyProtection="1">
      <alignment horizontal="center"/>
      <protection hidden="1"/>
    </xf>
    <xf numFmtId="0" fontId="20" fillId="10" borderId="31" xfId="0" applyFont="1" applyFill="1" applyBorder="1" applyAlignment="1" applyProtection="1">
      <alignment horizontal="center"/>
      <protection hidden="1"/>
    </xf>
    <xf numFmtId="0" fontId="20" fillId="10" borderId="11" xfId="0" applyFont="1" applyFill="1" applyBorder="1" applyAlignment="1" applyProtection="1">
      <alignment horizontal="center"/>
      <protection hidden="1"/>
    </xf>
    <xf numFmtId="0" fontId="16" fillId="6" borderId="1" xfId="0" applyFont="1" applyFill="1" applyBorder="1" applyAlignment="1" applyProtection="1">
      <alignment horizontal="center"/>
      <protection hidden="1"/>
    </xf>
    <xf numFmtId="0" fontId="16" fillId="6" borderId="2" xfId="0" applyFont="1" applyFill="1" applyBorder="1" applyAlignment="1" applyProtection="1">
      <alignment horizontal="center"/>
      <protection hidden="1"/>
    </xf>
    <xf numFmtId="0" fontId="16" fillId="6" borderId="3" xfId="0" applyFont="1" applyFill="1" applyBorder="1" applyAlignment="1" applyProtection="1">
      <alignment horizontal="center"/>
      <protection hidden="1"/>
    </xf>
    <xf numFmtId="0" fontId="16" fillId="6" borderId="4" xfId="0" applyFont="1" applyFill="1" applyBorder="1" applyAlignment="1" applyProtection="1">
      <alignment horizontal="center"/>
      <protection hidden="1"/>
    </xf>
    <xf numFmtId="0" fontId="16" fillId="6" borderId="0" xfId="0" applyFont="1" applyFill="1" applyAlignment="1" applyProtection="1">
      <alignment horizontal="center"/>
      <protection hidden="1"/>
    </xf>
    <xf numFmtId="0" fontId="16" fillId="6" borderId="5" xfId="0" applyFont="1" applyFill="1" applyBorder="1" applyAlignment="1" applyProtection="1">
      <alignment horizontal="center"/>
      <protection hidden="1"/>
    </xf>
    <xf numFmtId="0" fontId="16" fillId="6" borderId="6" xfId="0" applyFont="1" applyFill="1" applyBorder="1" applyAlignment="1" applyProtection="1">
      <alignment horizontal="center"/>
      <protection hidden="1"/>
    </xf>
    <xf numFmtId="0" fontId="16" fillId="6" borderId="7" xfId="0" applyFont="1" applyFill="1" applyBorder="1" applyAlignment="1" applyProtection="1">
      <alignment horizontal="center"/>
      <protection hidden="1"/>
    </xf>
    <xf numFmtId="0" fontId="16" fillId="6" borderId="8" xfId="0" applyFont="1" applyFill="1" applyBorder="1" applyAlignment="1" applyProtection="1">
      <alignment horizontal="center"/>
      <protection hidden="1"/>
    </xf>
    <xf numFmtId="0" fontId="19" fillId="6" borderId="38" xfId="0" applyFont="1" applyFill="1" applyBorder="1" applyAlignment="1" applyProtection="1">
      <alignment horizontal="center"/>
      <protection hidden="1"/>
    </xf>
    <xf numFmtId="0" fontId="19" fillId="6" borderId="29" xfId="0" applyFont="1" applyFill="1" applyBorder="1" applyAlignment="1" applyProtection="1">
      <alignment horizontal="center"/>
      <protection hidden="1"/>
    </xf>
    <xf numFmtId="0" fontId="19" fillId="6" borderId="28" xfId="0" applyFont="1" applyFill="1" applyBorder="1" applyAlignment="1" applyProtection="1">
      <alignment horizontal="center"/>
      <protection hidden="1"/>
    </xf>
    <xf numFmtId="0" fontId="19" fillId="6" borderId="36" xfId="0" applyFont="1" applyFill="1" applyBorder="1" applyAlignment="1" applyProtection="1">
      <alignment horizontal="center"/>
      <protection hidden="1"/>
    </xf>
    <xf numFmtId="0" fontId="19" fillId="6" borderId="0" xfId="0" applyFont="1" applyFill="1" applyAlignment="1" applyProtection="1">
      <alignment horizontal="center"/>
      <protection hidden="1"/>
    </xf>
    <xf numFmtId="0" fontId="19" fillId="6" borderId="9" xfId="0" applyFont="1" applyFill="1" applyBorder="1" applyAlignment="1" applyProtection="1">
      <alignment horizontal="center"/>
      <protection hidden="1"/>
    </xf>
    <xf numFmtId="0" fontId="19" fillId="6" borderId="39" xfId="0" applyFont="1" applyFill="1" applyBorder="1" applyAlignment="1" applyProtection="1">
      <alignment horizontal="center"/>
      <protection hidden="1"/>
    </xf>
    <xf numFmtId="0" fontId="19" fillId="6" borderId="31" xfId="0" applyFont="1" applyFill="1" applyBorder="1" applyAlignment="1" applyProtection="1">
      <alignment horizontal="center"/>
      <protection hidden="1"/>
    </xf>
    <xf numFmtId="0" fontId="19" fillId="6" borderId="11" xfId="0" applyFont="1" applyFill="1" applyBorder="1" applyAlignment="1" applyProtection="1">
      <alignment horizontal="center"/>
      <protection hidden="1"/>
    </xf>
    <xf numFmtId="0" fontId="20" fillId="9" borderId="32" xfId="0" applyFont="1" applyFill="1" applyBorder="1" applyAlignment="1" applyProtection="1">
      <alignment horizontal="center"/>
      <protection hidden="1"/>
    </xf>
    <xf numFmtId="0" fontId="20" fillId="9" borderId="2" xfId="0" applyFont="1" applyFill="1" applyBorder="1" applyAlignment="1" applyProtection="1">
      <alignment horizontal="center"/>
      <protection hidden="1"/>
    </xf>
    <xf numFmtId="0" fontId="20" fillId="9" borderId="3" xfId="0" applyFont="1" applyFill="1" applyBorder="1" applyAlignment="1" applyProtection="1">
      <alignment horizontal="center"/>
      <protection hidden="1"/>
    </xf>
    <xf numFmtId="0" fontId="20" fillId="9" borderId="12" xfId="0" applyFont="1" applyFill="1" applyBorder="1" applyAlignment="1" applyProtection="1">
      <alignment horizontal="center"/>
      <protection hidden="1"/>
    </xf>
    <xf numFmtId="0" fontId="20" fillId="9" borderId="0" xfId="0" applyFont="1" applyFill="1" applyAlignment="1" applyProtection="1">
      <alignment horizontal="center"/>
      <protection hidden="1"/>
    </xf>
    <xf numFmtId="0" fontId="20" fillId="9" borderId="5" xfId="0" applyFont="1" applyFill="1" applyBorder="1" applyAlignment="1" applyProtection="1">
      <alignment horizontal="center"/>
      <protection hidden="1"/>
    </xf>
  </cellXfs>
  <cellStyles count="2">
    <cellStyle name="Hyperlink" xfId="1" builtinId="8"/>
    <cellStyle name="Normal" xfId="0" builtinId="0"/>
  </cellStyles>
  <dxfs count="3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D700"/>
      <color rgb="FFC0C0C0"/>
      <color rgb="FFC0DBDB"/>
      <color rgb="FFCD7F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png"/><Relationship Id="rId18" Type="http://schemas.openxmlformats.org/officeDocument/2006/relationships/image" Target="../media/image43.png"/><Relationship Id="rId3" Type="http://schemas.openxmlformats.org/officeDocument/2006/relationships/image" Target="../media/image28.png"/><Relationship Id="rId21" Type="http://schemas.openxmlformats.org/officeDocument/2006/relationships/image" Target="../media/image46.png"/><Relationship Id="rId7" Type="http://schemas.openxmlformats.org/officeDocument/2006/relationships/image" Target="../media/image32.png"/><Relationship Id="rId12" Type="http://schemas.openxmlformats.org/officeDocument/2006/relationships/image" Target="../media/image37.png"/><Relationship Id="rId17" Type="http://schemas.openxmlformats.org/officeDocument/2006/relationships/image" Target="../media/image42.png"/><Relationship Id="rId2" Type="http://schemas.openxmlformats.org/officeDocument/2006/relationships/image" Target="../media/image27.png"/><Relationship Id="rId16" Type="http://schemas.openxmlformats.org/officeDocument/2006/relationships/image" Target="../media/image41.png"/><Relationship Id="rId20" Type="http://schemas.openxmlformats.org/officeDocument/2006/relationships/image" Target="../media/image45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11" Type="http://schemas.openxmlformats.org/officeDocument/2006/relationships/image" Target="../media/image36.png"/><Relationship Id="rId24" Type="http://schemas.openxmlformats.org/officeDocument/2006/relationships/image" Target="../media/image49.png"/><Relationship Id="rId5" Type="http://schemas.openxmlformats.org/officeDocument/2006/relationships/image" Target="../media/image30.png"/><Relationship Id="rId15" Type="http://schemas.openxmlformats.org/officeDocument/2006/relationships/image" Target="../media/image40.png"/><Relationship Id="rId23" Type="http://schemas.openxmlformats.org/officeDocument/2006/relationships/image" Target="../media/image48.png"/><Relationship Id="rId10" Type="http://schemas.openxmlformats.org/officeDocument/2006/relationships/image" Target="../media/image35.png"/><Relationship Id="rId19" Type="http://schemas.openxmlformats.org/officeDocument/2006/relationships/image" Target="../media/image44.png"/><Relationship Id="rId4" Type="http://schemas.openxmlformats.org/officeDocument/2006/relationships/image" Target="../media/image29.png"/><Relationship Id="rId9" Type="http://schemas.openxmlformats.org/officeDocument/2006/relationships/image" Target="../media/image34.png"/><Relationship Id="rId14" Type="http://schemas.openxmlformats.org/officeDocument/2006/relationships/image" Target="../media/image39.png"/><Relationship Id="rId22" Type="http://schemas.openxmlformats.org/officeDocument/2006/relationships/image" Target="../media/image4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12" Type="http://schemas.openxmlformats.org/officeDocument/2006/relationships/image" Target="../media/image25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4.emf"/><Relationship Id="rId5" Type="http://schemas.openxmlformats.org/officeDocument/2006/relationships/image" Target="../media/image18.emf"/><Relationship Id="rId10" Type="http://schemas.openxmlformats.org/officeDocument/2006/relationships/image" Target="../media/image23.emf"/><Relationship Id="rId4" Type="http://schemas.openxmlformats.org/officeDocument/2006/relationships/image" Target="../media/image17.emf"/><Relationship Id="rId9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16</xdr:col>
      <xdr:colOff>0</xdr:colOff>
      <xdr:row>45</xdr:row>
      <xdr:rowOff>171449</xdr:rowOff>
    </xdr:to>
    <xdr:pic>
      <xdr:nvPicPr>
        <xdr:cNvPr id="2" name="Picture 1" descr="Кристиян on Twitter: &quot;@freax0r @angel_foxa Да го докажИ!&quot; / Twitter">
          <a:extLst>
            <a:ext uri="{FF2B5EF4-FFF2-40B4-BE49-F238E27FC236}">
              <a16:creationId xmlns:a16="http://schemas.microsoft.com/office/drawing/2014/main" id="{321C6931-ED21-1C8A-8F9C-AFEE763C6B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44000" cy="8553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49014</xdr:colOff>
          <xdr:row>8</xdr:row>
          <xdr:rowOff>24753</xdr:rowOff>
        </xdr:from>
        <xdr:to>
          <xdr:col>30</xdr:col>
          <xdr:colOff>567938</xdr:colOff>
          <xdr:row>10</xdr:row>
          <xdr:rowOff>6352</xdr:rowOff>
        </xdr:to>
        <xdr:pic>
          <xdr:nvPicPr>
            <xdr:cNvPr id="2" name="Picture 1" descr="Полша">
              <a:extLst>
                <a:ext uri="{FF2B5EF4-FFF2-40B4-BE49-F238E27FC236}">
                  <a16:creationId xmlns:a16="http://schemas.microsoft.com/office/drawing/2014/main" id="{021EBC37-F534-4F01-824F-224DD309768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l" spid="_x0000_s67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7364843" y="1484563"/>
              <a:ext cx="518924" cy="36466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49014</xdr:colOff>
          <xdr:row>10</xdr:row>
          <xdr:rowOff>23490</xdr:rowOff>
        </xdr:from>
        <xdr:to>
          <xdr:col>30</xdr:col>
          <xdr:colOff>567938</xdr:colOff>
          <xdr:row>11</xdr:row>
          <xdr:rowOff>182512</xdr:rowOff>
        </xdr:to>
        <xdr:pic>
          <xdr:nvPicPr>
            <xdr:cNvPr id="3" name="Picture 2" descr="Полша">
              <a:extLst>
                <a:ext uri="{FF2B5EF4-FFF2-40B4-BE49-F238E27FC236}">
                  <a16:creationId xmlns:a16="http://schemas.microsoft.com/office/drawing/2014/main" id="{924E815C-085B-4AB2-B641-DED37C7DA7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lL" spid="_x0000_s673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7364843" y="1866370"/>
              <a:ext cx="518924" cy="36608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56037</xdr:colOff>
          <xdr:row>22</xdr:row>
          <xdr:rowOff>20719</xdr:rowOff>
        </xdr:from>
        <xdr:to>
          <xdr:col>30</xdr:col>
          <xdr:colOff>574961</xdr:colOff>
          <xdr:row>23</xdr:row>
          <xdr:rowOff>196592</xdr:rowOff>
        </xdr:to>
        <xdr:pic>
          <xdr:nvPicPr>
            <xdr:cNvPr id="4" name="Picture 3" descr="Полша">
              <a:extLst>
                <a:ext uri="{FF2B5EF4-FFF2-40B4-BE49-F238E27FC236}">
                  <a16:creationId xmlns:a16="http://schemas.microsoft.com/office/drawing/2014/main" id="{5D15DEBD-8B0F-427E-86E9-3F321DC11AB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FLLL" spid="_x0000_s673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371866" y="4275909"/>
              <a:ext cx="518924" cy="36740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57883</xdr:colOff>
          <xdr:row>24</xdr:row>
          <xdr:rowOff>27379</xdr:rowOff>
        </xdr:from>
        <xdr:to>
          <xdr:col>30</xdr:col>
          <xdr:colOff>576807</xdr:colOff>
          <xdr:row>25</xdr:row>
          <xdr:rowOff>191040</xdr:rowOff>
        </xdr:to>
        <xdr:pic>
          <xdr:nvPicPr>
            <xdr:cNvPr id="5" name="Picture 4" descr="Полша">
              <a:extLst>
                <a:ext uri="{FF2B5EF4-FFF2-40B4-BE49-F238E27FC236}">
                  <a16:creationId xmlns:a16="http://schemas.microsoft.com/office/drawing/2014/main" id="{A80106D6-D44A-4036-A319-D4548B0179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P" spid="_x0000_s673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7373712" y="4675993"/>
              <a:ext cx="518924" cy="37072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52706</xdr:colOff>
          <xdr:row>36</xdr:row>
          <xdr:rowOff>26644</xdr:rowOff>
        </xdr:from>
        <xdr:to>
          <xdr:col>30</xdr:col>
          <xdr:colOff>571630</xdr:colOff>
          <xdr:row>38</xdr:row>
          <xdr:rowOff>1364</xdr:rowOff>
        </xdr:to>
        <xdr:pic>
          <xdr:nvPicPr>
            <xdr:cNvPr id="6" name="Picture 5" descr="Полша">
              <a:extLst>
                <a:ext uri="{FF2B5EF4-FFF2-40B4-BE49-F238E27FC236}">
                  <a16:creationId xmlns:a16="http://schemas.microsoft.com/office/drawing/2014/main" id="{7AD85296-6199-4011-BC07-F9DA4A665DE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PP" spid="_x0000_s673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7368535" y="7072038"/>
              <a:ext cx="518924" cy="37849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47528</xdr:colOff>
          <xdr:row>38</xdr:row>
          <xdr:rowOff>27741</xdr:rowOff>
        </xdr:from>
        <xdr:to>
          <xdr:col>30</xdr:col>
          <xdr:colOff>566452</xdr:colOff>
          <xdr:row>39</xdr:row>
          <xdr:rowOff>186962</xdr:rowOff>
        </xdr:to>
        <xdr:pic>
          <xdr:nvPicPr>
            <xdr:cNvPr id="7" name="Picture 6" descr="Полша">
              <a:extLst>
                <a:ext uri="{FF2B5EF4-FFF2-40B4-BE49-F238E27FC236}">
                  <a16:creationId xmlns:a16="http://schemas.microsoft.com/office/drawing/2014/main" id="{BA46F40F-0B5A-4D58-AC46-D8774294D54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SNAMIFL" spid="_x0000_s674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7363357" y="7476912"/>
              <a:ext cx="518924" cy="36628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49376</xdr:colOff>
          <xdr:row>50</xdr:row>
          <xdr:rowOff>31696</xdr:rowOff>
        </xdr:from>
        <xdr:to>
          <xdr:col>30</xdr:col>
          <xdr:colOff>568300</xdr:colOff>
          <xdr:row>52</xdr:row>
          <xdr:rowOff>0</xdr:rowOff>
        </xdr:to>
        <xdr:pic>
          <xdr:nvPicPr>
            <xdr:cNvPr id="8" name="Picture 7" descr="Полша">
              <a:extLst>
                <a:ext uri="{FF2B5EF4-FFF2-40B4-BE49-F238E27FC236}">
                  <a16:creationId xmlns:a16="http://schemas.microsoft.com/office/drawing/2014/main" id="{03643367-DD73-4A46-9E7D-0D3E894BAF4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NZ" spid="_x0000_s674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7365205" y="9856941"/>
              <a:ext cx="518924" cy="3616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44199</xdr:colOff>
          <xdr:row>53</xdr:row>
          <xdr:rowOff>29974</xdr:rowOff>
        </xdr:from>
        <xdr:to>
          <xdr:col>30</xdr:col>
          <xdr:colOff>563123</xdr:colOff>
          <xdr:row>55</xdr:row>
          <xdr:rowOff>1581</xdr:rowOff>
        </xdr:to>
        <xdr:pic>
          <xdr:nvPicPr>
            <xdr:cNvPr id="9" name="Picture 8" descr="Полша">
              <a:extLst>
                <a:ext uri="{FF2B5EF4-FFF2-40B4-BE49-F238E27FC236}">
                  <a16:creationId xmlns:a16="http://schemas.microsoft.com/office/drawing/2014/main" id="{7E8F0F25-2C3C-424B-BC79-FD99B14F75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NZZ" spid="_x0000_s6742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7360028" y="10248642"/>
              <a:ext cx="518924" cy="37538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49273</xdr:colOff>
          <xdr:row>15</xdr:row>
          <xdr:rowOff>28123</xdr:rowOff>
        </xdr:from>
        <xdr:to>
          <xdr:col>36</xdr:col>
          <xdr:colOff>566031</xdr:colOff>
          <xdr:row>17</xdr:row>
          <xdr:rowOff>1117</xdr:rowOff>
        </xdr:to>
        <xdr:pic>
          <xdr:nvPicPr>
            <xdr:cNvPr id="10" name="Picture 9" descr="Полша">
              <a:extLst>
                <a:ext uri="{FF2B5EF4-FFF2-40B4-BE49-F238E27FC236}">
                  <a16:creationId xmlns:a16="http://schemas.microsoft.com/office/drawing/2014/main" id="{E076121B-647D-46ED-8CE9-87FB75AF667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" spid="_x0000_s674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21030156" y="2864916"/>
              <a:ext cx="516758" cy="37332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40851</xdr:colOff>
          <xdr:row>17</xdr:row>
          <xdr:rowOff>28180</xdr:rowOff>
        </xdr:from>
        <xdr:to>
          <xdr:col>36</xdr:col>
          <xdr:colOff>557609</xdr:colOff>
          <xdr:row>18</xdr:row>
          <xdr:rowOff>185721</xdr:rowOff>
        </xdr:to>
        <xdr:pic>
          <xdr:nvPicPr>
            <xdr:cNvPr id="11" name="Picture 10" descr="Полша">
              <a:extLst>
                <a:ext uri="{FF2B5EF4-FFF2-40B4-BE49-F238E27FC236}">
                  <a16:creationId xmlns:a16="http://schemas.microsoft.com/office/drawing/2014/main" id="{B7E3933A-8D51-4328-8404-445A201988C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L" spid="_x0000_s674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1021734" y="3268751"/>
              <a:ext cx="516758" cy="3646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47341</xdr:colOff>
          <xdr:row>43</xdr:row>
          <xdr:rowOff>23680</xdr:rowOff>
        </xdr:from>
        <xdr:to>
          <xdr:col>36</xdr:col>
          <xdr:colOff>564099</xdr:colOff>
          <xdr:row>44</xdr:row>
          <xdr:rowOff>192757</xdr:rowOff>
        </xdr:to>
        <xdr:pic>
          <xdr:nvPicPr>
            <xdr:cNvPr id="12" name="Picture 11" descr="Полша">
              <a:extLst>
                <a:ext uri="{FF2B5EF4-FFF2-40B4-BE49-F238E27FC236}">
                  <a16:creationId xmlns:a16="http://schemas.microsoft.com/office/drawing/2014/main" id="{62269821-C41B-466F-8BA5-8EA28260369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WE" spid="_x0000_s6745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21028224" y="8466764"/>
              <a:ext cx="516758" cy="36061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45719</xdr:colOff>
          <xdr:row>45</xdr:row>
          <xdr:rowOff>26501</xdr:rowOff>
        </xdr:from>
        <xdr:to>
          <xdr:col>36</xdr:col>
          <xdr:colOff>562477</xdr:colOff>
          <xdr:row>46</xdr:row>
          <xdr:rowOff>197933</xdr:rowOff>
        </xdr:to>
        <xdr:pic>
          <xdr:nvPicPr>
            <xdr:cNvPr id="13" name="Picture 12" descr="Полша">
              <a:extLst>
                <a:ext uri="{FF2B5EF4-FFF2-40B4-BE49-F238E27FC236}">
                  <a16:creationId xmlns:a16="http://schemas.microsoft.com/office/drawing/2014/main" id="{59B2D883-6D80-486F-8F93-63E8D5A805B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WEW" spid="_x0000_s674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21026602" y="8863009"/>
              <a:ext cx="516758" cy="37332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42</xdr:col>
          <xdr:colOff>40866</xdr:colOff>
          <xdr:row>25</xdr:row>
          <xdr:rowOff>21325</xdr:rowOff>
        </xdr:from>
        <xdr:to>
          <xdr:col>42</xdr:col>
          <xdr:colOff>564408</xdr:colOff>
          <xdr:row>26</xdr:row>
          <xdr:rowOff>192758</xdr:rowOff>
        </xdr:to>
        <xdr:pic>
          <xdr:nvPicPr>
            <xdr:cNvPr id="14" name="Picture 13" descr="Полша">
              <a:extLst>
                <a:ext uri="{FF2B5EF4-FFF2-40B4-BE49-F238E27FC236}">
                  <a16:creationId xmlns:a16="http://schemas.microsoft.com/office/drawing/2014/main" id="{6A90E7D5-91BB-4B6E-A1B6-9D8FD9902C2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O" spid="_x0000_s674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24686804" y="4877004"/>
              <a:ext cx="523542" cy="37332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42</xdr:col>
          <xdr:colOff>40866</xdr:colOff>
          <xdr:row>27</xdr:row>
          <xdr:rowOff>26500</xdr:rowOff>
        </xdr:from>
        <xdr:to>
          <xdr:col>42</xdr:col>
          <xdr:colOff>564408</xdr:colOff>
          <xdr:row>28</xdr:row>
          <xdr:rowOff>197933</xdr:rowOff>
        </xdr:to>
        <xdr:pic>
          <xdr:nvPicPr>
            <xdr:cNvPr id="15" name="Picture 14" descr="Полша">
              <a:extLst>
                <a:ext uri="{FF2B5EF4-FFF2-40B4-BE49-F238E27FC236}">
                  <a16:creationId xmlns:a16="http://schemas.microsoft.com/office/drawing/2014/main" id="{99B8CDC0-81C0-4DBB-82E5-FED6D3446D3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OM" spid="_x0000_s6748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24686804" y="5285957"/>
              <a:ext cx="523542" cy="37332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42</xdr:col>
          <xdr:colOff>46352</xdr:colOff>
          <xdr:row>33</xdr:row>
          <xdr:rowOff>21324</xdr:rowOff>
        </xdr:from>
        <xdr:to>
          <xdr:col>42</xdr:col>
          <xdr:colOff>569894</xdr:colOff>
          <xdr:row>35</xdr:row>
          <xdr:rowOff>835</xdr:rowOff>
        </xdr:to>
        <xdr:pic>
          <xdr:nvPicPr>
            <xdr:cNvPr id="16" name="Picture 15" descr="Полша">
              <a:extLst>
                <a:ext uri="{FF2B5EF4-FFF2-40B4-BE49-F238E27FC236}">
                  <a16:creationId xmlns:a16="http://schemas.microsoft.com/office/drawing/2014/main" id="{3BF61D34-8F70-402A-827C-9EB19943F7E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KP" spid="_x0000_s674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4692290" y="6481759"/>
              <a:ext cx="523542" cy="36258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42</xdr:col>
          <xdr:colOff>40866</xdr:colOff>
          <xdr:row>35</xdr:row>
          <xdr:rowOff>24904</xdr:rowOff>
        </xdr:from>
        <xdr:to>
          <xdr:col>42</xdr:col>
          <xdr:colOff>564408</xdr:colOff>
          <xdr:row>37</xdr:row>
          <xdr:rowOff>1119</xdr:rowOff>
        </xdr:to>
        <xdr:pic>
          <xdr:nvPicPr>
            <xdr:cNvPr id="17" name="Picture 16" descr="Полша">
              <a:extLst>
                <a:ext uri="{FF2B5EF4-FFF2-40B4-BE49-F238E27FC236}">
                  <a16:creationId xmlns:a16="http://schemas.microsoft.com/office/drawing/2014/main" id="{0FFA70BD-27E9-40C8-9384-AF89942A2E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KPP" spid="_x0000_s675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24686804" y="6868409"/>
              <a:ext cx="523542" cy="37654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6445</xdr:colOff>
      <xdr:row>1</xdr:row>
      <xdr:rowOff>22150</xdr:rowOff>
    </xdr:from>
    <xdr:to>
      <xdr:col>3</xdr:col>
      <xdr:colOff>4091</xdr:colOff>
      <xdr:row>1</xdr:row>
      <xdr:rowOff>1022637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E706A46E-7477-C92E-849F-667E0ABEF2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603" y="222676"/>
          <a:ext cx="1609569" cy="1000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6445</xdr:colOff>
      <xdr:row>2</xdr:row>
      <xdr:rowOff>21659</xdr:rowOff>
    </xdr:from>
    <xdr:to>
      <xdr:col>3</xdr:col>
      <xdr:colOff>3925</xdr:colOff>
      <xdr:row>2</xdr:row>
      <xdr:rowOff>1090303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7DC91DA0-28FC-06ED-722C-7AFD0EF67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9603" y="1400277"/>
          <a:ext cx="1609403" cy="1068644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3</xdr:row>
      <xdr:rowOff>13984</xdr:rowOff>
    </xdr:from>
    <xdr:to>
      <xdr:col>3</xdr:col>
      <xdr:colOff>7811</xdr:colOff>
      <xdr:row>4</xdr:row>
      <xdr:rowOff>1724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C2F796F2-D6DF-C28C-04DA-36CDFD2F4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9603" y="2570695"/>
          <a:ext cx="1638475" cy="1153486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4</xdr:row>
      <xdr:rowOff>10339</xdr:rowOff>
    </xdr:from>
    <xdr:to>
      <xdr:col>3</xdr:col>
      <xdr:colOff>2254</xdr:colOff>
      <xdr:row>5</xdr:row>
      <xdr:rowOff>10152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633BB11-5229-28DB-E714-8FD751413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9603" y="3745142"/>
          <a:ext cx="1632918" cy="1071376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5</xdr:row>
      <xdr:rowOff>6399</xdr:rowOff>
    </xdr:from>
    <xdr:to>
      <xdr:col>3</xdr:col>
      <xdr:colOff>453</xdr:colOff>
      <xdr:row>5</xdr:row>
      <xdr:rowOff>1089461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9F2B8D96-98D5-994F-8C27-C51239851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03" y="4919294"/>
          <a:ext cx="1631117" cy="1083062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6</xdr:row>
      <xdr:rowOff>6448</xdr:rowOff>
    </xdr:from>
    <xdr:to>
      <xdr:col>3</xdr:col>
      <xdr:colOff>2126</xdr:colOff>
      <xdr:row>6</xdr:row>
      <xdr:rowOff>1090621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AB1EA520-1840-5A6E-8B2D-AEEC493A5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09603" y="6097435"/>
          <a:ext cx="1632790" cy="1084173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7</xdr:row>
      <xdr:rowOff>11174</xdr:rowOff>
    </xdr:from>
    <xdr:to>
      <xdr:col>3</xdr:col>
      <xdr:colOff>9398</xdr:colOff>
      <xdr:row>8</xdr:row>
      <xdr:rowOff>1136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C1D6701-E82D-C496-EAE0-8A2C3BD5B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09603" y="7280253"/>
          <a:ext cx="1640062" cy="1089001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8</xdr:row>
      <xdr:rowOff>9991</xdr:rowOff>
    </xdr:from>
    <xdr:to>
      <xdr:col>3</xdr:col>
      <xdr:colOff>5619</xdr:colOff>
      <xdr:row>8</xdr:row>
      <xdr:rowOff>1096483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85C54CC3-3B8E-06FC-369D-44F88FF46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9603" y="8457162"/>
          <a:ext cx="1636283" cy="1086492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9</xdr:row>
      <xdr:rowOff>17889</xdr:rowOff>
    </xdr:from>
    <xdr:to>
      <xdr:col>3</xdr:col>
      <xdr:colOff>18909</xdr:colOff>
      <xdr:row>9</xdr:row>
      <xdr:rowOff>1096482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8140499A-CE2B-6CD2-3B5E-F0E69AD57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9603" y="9643152"/>
          <a:ext cx="1624387" cy="1078593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10</xdr:row>
      <xdr:rowOff>14690</xdr:rowOff>
    </xdr:from>
    <xdr:to>
      <xdr:col>3</xdr:col>
      <xdr:colOff>20936</xdr:colOff>
      <xdr:row>10</xdr:row>
      <xdr:rowOff>832826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FD2B469A-7B62-7A85-7B05-445FEF35B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9603" y="10818045"/>
          <a:ext cx="1626414" cy="818136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11</xdr:row>
      <xdr:rowOff>43979</xdr:rowOff>
    </xdr:from>
    <xdr:to>
      <xdr:col>2</xdr:col>
      <xdr:colOff>1578070</xdr:colOff>
      <xdr:row>12</xdr:row>
      <xdr:rowOff>3681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448A9E37-E6C5-AA2B-A0C0-6A3668715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9603" y="12025426"/>
          <a:ext cx="1571625" cy="619125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12</xdr:row>
      <xdr:rowOff>7305</xdr:rowOff>
    </xdr:from>
    <xdr:to>
      <xdr:col>3</xdr:col>
      <xdr:colOff>7907</xdr:colOff>
      <xdr:row>13</xdr:row>
      <xdr:rowOff>8076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A8B22E7C-A74C-B458-638F-025696E66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09603" y="13166844"/>
          <a:ext cx="1638571" cy="863974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13</xdr:row>
      <xdr:rowOff>15952</xdr:rowOff>
    </xdr:from>
    <xdr:to>
      <xdr:col>3</xdr:col>
      <xdr:colOff>23151</xdr:colOff>
      <xdr:row>13</xdr:row>
      <xdr:rowOff>941013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D185FE81-C4DF-E8C6-CC98-BC49216E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9603" y="14353584"/>
          <a:ext cx="1628629" cy="925061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14</xdr:row>
      <xdr:rowOff>11076</xdr:rowOff>
    </xdr:from>
    <xdr:to>
      <xdr:col>3</xdr:col>
      <xdr:colOff>15032</xdr:colOff>
      <xdr:row>15</xdr:row>
      <xdr:rowOff>1116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89355AFF-0EAE-2ACD-8CDB-9987A7F4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09603" y="15526800"/>
          <a:ext cx="1620510" cy="972306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15</xdr:row>
      <xdr:rowOff>18309</xdr:rowOff>
    </xdr:from>
    <xdr:to>
      <xdr:col>3</xdr:col>
      <xdr:colOff>22633</xdr:colOff>
      <xdr:row>15</xdr:row>
      <xdr:rowOff>1099375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AF8B700E-02DC-2108-FF7E-4E35CF826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09603" y="16712125"/>
          <a:ext cx="1628111" cy="1081066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17</xdr:row>
      <xdr:rowOff>17951</xdr:rowOff>
    </xdr:from>
    <xdr:to>
      <xdr:col>3</xdr:col>
      <xdr:colOff>7480</xdr:colOff>
      <xdr:row>17</xdr:row>
      <xdr:rowOff>985726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ABDE565-6AC0-639C-039A-5B9A799D0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09603" y="19067951"/>
          <a:ext cx="1612958" cy="967775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18</xdr:row>
      <xdr:rowOff>11319</xdr:rowOff>
    </xdr:from>
    <xdr:to>
      <xdr:col>3</xdr:col>
      <xdr:colOff>23643</xdr:colOff>
      <xdr:row>18</xdr:row>
      <xdr:rowOff>1096803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FA5374C8-8C17-C146-BED1-398285BA1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09603" y="20239411"/>
          <a:ext cx="1629121" cy="1085484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20</xdr:row>
      <xdr:rowOff>16759</xdr:rowOff>
    </xdr:from>
    <xdr:to>
      <xdr:col>3</xdr:col>
      <xdr:colOff>987</xdr:colOff>
      <xdr:row>21</xdr:row>
      <xdr:rowOff>1137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B66AF014-E646-1396-8B36-FE110C271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209603" y="22601035"/>
          <a:ext cx="1631651" cy="1083416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21</xdr:row>
      <xdr:rowOff>11099</xdr:rowOff>
    </xdr:from>
    <xdr:to>
      <xdr:col>3</xdr:col>
      <xdr:colOff>13328</xdr:colOff>
      <xdr:row>22</xdr:row>
      <xdr:rowOff>21015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49609F93-C4E9-DAD4-2AA2-4B85F0EF8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09603" y="23773467"/>
          <a:ext cx="1618806" cy="815878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22</xdr:row>
      <xdr:rowOff>9650</xdr:rowOff>
    </xdr:from>
    <xdr:to>
      <xdr:col>3</xdr:col>
      <xdr:colOff>3872</xdr:colOff>
      <xdr:row>22</xdr:row>
      <xdr:rowOff>1094982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6E3B9C29-AC42-6C2C-8947-B6A4FD6A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09603" y="24950111"/>
          <a:ext cx="1634536" cy="1085332"/>
        </a:xfrm>
        <a:prstGeom prst="rect">
          <a:avLst/>
        </a:prstGeom>
      </xdr:spPr>
    </xdr:pic>
    <xdr:clientData/>
  </xdr:twoCellAnchor>
  <xdr:twoCellAnchor editAs="oneCell">
    <xdr:from>
      <xdr:col>2</xdr:col>
      <xdr:colOff>6445</xdr:colOff>
      <xdr:row>23</xdr:row>
      <xdr:rowOff>11075</xdr:rowOff>
    </xdr:from>
    <xdr:to>
      <xdr:col>3</xdr:col>
      <xdr:colOff>3985</xdr:colOff>
      <xdr:row>24</xdr:row>
      <xdr:rowOff>1598</xdr:rowOff>
    </xdr:to>
    <xdr:pic>
      <xdr:nvPicPr>
        <xdr:cNvPr id="54" name="Picture 53" descr="Flag of Netherlands">
          <a:extLst>
            <a:ext uri="{FF2B5EF4-FFF2-40B4-BE49-F238E27FC236}">
              <a16:creationId xmlns:a16="http://schemas.microsoft.com/office/drawing/2014/main" id="{DF75E75B-B460-5678-2863-0565DF154D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603" y="26129628"/>
          <a:ext cx="1634649" cy="10854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6445</xdr:colOff>
      <xdr:row>24</xdr:row>
      <xdr:rowOff>11074</xdr:rowOff>
    </xdr:from>
    <xdr:to>
      <xdr:col>3</xdr:col>
      <xdr:colOff>19925</xdr:colOff>
      <xdr:row>24</xdr:row>
      <xdr:rowOff>1025325</xdr:rowOff>
    </xdr:to>
    <xdr:pic>
      <xdr:nvPicPr>
        <xdr:cNvPr id="55" name="Picture 54" descr="Flag of Argentina">
          <a:extLst>
            <a:ext uri="{FF2B5EF4-FFF2-40B4-BE49-F238E27FC236}">
              <a16:creationId xmlns:a16="http://schemas.microsoft.com/office/drawing/2014/main" id="{8AD76A0D-F5D7-6389-66C8-8E3342D0DC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603" y="27307719"/>
          <a:ext cx="1625403" cy="1014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6445</xdr:colOff>
      <xdr:row>25</xdr:row>
      <xdr:rowOff>15998</xdr:rowOff>
    </xdr:from>
    <xdr:to>
      <xdr:col>3</xdr:col>
      <xdr:colOff>17295</xdr:colOff>
      <xdr:row>25</xdr:row>
      <xdr:rowOff>937733</xdr:rowOff>
    </xdr:to>
    <xdr:pic>
      <xdr:nvPicPr>
        <xdr:cNvPr id="56" name="Picture 55" descr="Flag of Iran">
          <a:extLst>
            <a:ext uri="{FF2B5EF4-FFF2-40B4-BE49-F238E27FC236}">
              <a16:creationId xmlns:a16="http://schemas.microsoft.com/office/drawing/2014/main" id="{6EB54FFF-7BA2-7A23-164C-278499EE9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603" y="28490735"/>
          <a:ext cx="1622773" cy="921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6445</xdr:colOff>
      <xdr:row>26</xdr:row>
      <xdr:rowOff>13784</xdr:rowOff>
    </xdr:from>
    <xdr:to>
      <xdr:col>3</xdr:col>
      <xdr:colOff>13972</xdr:colOff>
      <xdr:row>26</xdr:row>
      <xdr:rowOff>1089099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A2C7F954-A189-C35D-FA55-3A2713511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09603" y="29666613"/>
          <a:ext cx="1619450" cy="107531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1;&#1086;&#1088;&#1080;&#1089;%20&#1053;&#1077;&#1081;&#1095;&#1077;&#1074;%20&#1055;&#1088;&#1086;&#1077;&#1082;&#1090;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чало"/>
      <sheetName val="Схема"/>
      <sheetName val="Програма"/>
      <sheetName val="Резултати"/>
      <sheetName val="Класиране"/>
      <sheetName val="Ресурси"/>
    </sheetNames>
    <sheetDataSet>
      <sheetData sheetId="0"/>
      <sheetData sheetId="1"/>
      <sheetData sheetId="2">
        <row r="6">
          <cell r="A6" t="str">
            <v>мач</v>
          </cell>
          <cell r="B6" t="str">
            <v>дата</v>
          </cell>
          <cell r="C6"/>
          <cell r="D6" t="str">
            <v>час</v>
          </cell>
          <cell r="E6"/>
          <cell r="F6" t="str">
            <v>Домакин</v>
          </cell>
          <cell r="G6"/>
          <cell r="H6" t="str">
            <v>Гост</v>
          </cell>
          <cell r="I6"/>
        </row>
        <row r="7">
          <cell r="A7">
            <v>1</v>
          </cell>
          <cell r="B7">
            <v>44808</v>
          </cell>
          <cell r="C7"/>
          <cell r="D7">
            <v>0.77083333333333337</v>
          </cell>
          <cell r="E7"/>
          <cell r="F7" t="str">
            <v>САЩ</v>
          </cell>
          <cell r="G7"/>
          <cell r="H7" t="str">
            <v>Турция</v>
          </cell>
          <cell r="I7"/>
        </row>
        <row r="8">
          <cell r="A8">
            <v>2</v>
          </cell>
          <cell r="B8">
            <v>44808</v>
          </cell>
          <cell r="C8"/>
          <cell r="D8">
            <v>0.91666666666666663</v>
          </cell>
          <cell r="E8"/>
          <cell r="F8" t="str">
            <v>Полша</v>
          </cell>
          <cell r="G8"/>
          <cell r="H8" t="str">
            <v>Тунис</v>
          </cell>
          <cell r="I8"/>
        </row>
        <row r="9">
          <cell r="A9">
            <v>3</v>
          </cell>
          <cell r="B9">
            <v>44810</v>
          </cell>
          <cell r="C9"/>
          <cell r="D9">
            <v>0.77083333333333337</v>
          </cell>
          <cell r="E9"/>
          <cell r="F9" t="str">
            <v>Сърбия</v>
          </cell>
          <cell r="G9"/>
          <cell r="H9" t="str">
            <v>Аржентина</v>
          </cell>
          <cell r="I9"/>
        </row>
        <row r="10">
          <cell r="A10">
            <v>4</v>
          </cell>
          <cell r="B10">
            <v>44810</v>
          </cell>
          <cell r="C10"/>
          <cell r="D10">
            <v>0.91666666666666663</v>
          </cell>
          <cell r="E10"/>
          <cell r="F10" t="str">
            <v>Бразилия</v>
          </cell>
          <cell r="G10"/>
          <cell r="H10" t="str">
            <v>Иран</v>
          </cell>
          <cell r="I10"/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A4078-C973-4712-9D1C-ABF7B20DF53B}">
  <sheetPr codeName="Sheet1"/>
  <dimension ref="A1:Q14"/>
  <sheetViews>
    <sheetView zoomScale="155" workbookViewId="0">
      <selection activeCell="H7" sqref="H7:J8"/>
    </sheetView>
  </sheetViews>
  <sheetFormatPr defaultColWidth="0" defaultRowHeight="15" zeroHeight="1" x14ac:dyDescent="0.25"/>
  <cols>
    <col min="1" max="1" width="1.28515625" style="4" customWidth="1"/>
    <col min="2" max="14" width="9.140625" customWidth="1"/>
    <col min="15" max="15" width="9.140625" style="4" customWidth="1"/>
    <col min="16" max="16" width="9.140625" customWidth="1"/>
    <col min="17" max="17" width="1.28515625" style="4" customWidth="1"/>
    <col min="18" max="16384" width="9.140625" hidden="1"/>
  </cols>
  <sheetData>
    <row r="1" spans="2:16" s="4" customFormat="1" ht="6.75" customHeight="1" x14ac:dyDescent="0.25"/>
    <row r="2" spans="2:16" ht="15.75" thickBot="1" x14ac:dyDescent="0.3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2:16" x14ac:dyDescent="0.25">
      <c r="B3" s="3"/>
      <c r="C3" s="3"/>
      <c r="D3" s="3"/>
      <c r="E3" s="62" t="s">
        <v>79</v>
      </c>
      <c r="F3" s="63"/>
      <c r="G3" s="63"/>
      <c r="H3" s="63"/>
      <c r="I3" s="63"/>
      <c r="J3" s="63"/>
      <c r="K3" s="63"/>
      <c r="L3" s="63"/>
      <c r="M3" s="64"/>
      <c r="N3" s="3"/>
      <c r="O3" s="3"/>
      <c r="P3" s="3"/>
    </row>
    <row r="4" spans="2:16" ht="15.75" thickBot="1" x14ac:dyDescent="0.3">
      <c r="B4" s="3"/>
      <c r="C4" s="3"/>
      <c r="D4" s="3"/>
      <c r="E4" s="65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</row>
    <row r="5" spans="2:16" x14ac:dyDescent="0.2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2:16" ht="15.75" thickBot="1" x14ac:dyDescent="0.3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2:16" x14ac:dyDescent="0.25">
      <c r="B7" s="3"/>
      <c r="C7" s="3"/>
      <c r="D7" s="68" t="s">
        <v>80</v>
      </c>
      <c r="E7" s="69"/>
      <c r="F7" s="70"/>
      <c r="G7" s="3"/>
      <c r="H7" s="68" t="s">
        <v>81</v>
      </c>
      <c r="I7" s="69"/>
      <c r="J7" s="70"/>
      <c r="K7" s="3"/>
      <c r="L7" s="68" t="s">
        <v>82</v>
      </c>
      <c r="M7" s="69"/>
      <c r="N7" s="70"/>
      <c r="O7" s="3"/>
      <c r="P7" s="3"/>
    </row>
    <row r="8" spans="2:16" ht="15.75" thickBot="1" x14ac:dyDescent="0.3">
      <c r="B8" s="3"/>
      <c r="C8" s="3"/>
      <c r="D8" s="71"/>
      <c r="E8" s="72"/>
      <c r="F8" s="73"/>
      <c r="G8" s="3"/>
      <c r="H8" s="71"/>
      <c r="I8" s="72"/>
      <c r="J8" s="73"/>
      <c r="K8" s="3"/>
      <c r="L8" s="71"/>
      <c r="M8" s="72"/>
      <c r="N8" s="73"/>
      <c r="O8" s="3"/>
      <c r="P8" s="3"/>
    </row>
    <row r="9" spans="2:16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</row>
    <row r="10" spans="2:16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2:16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  <row r="12" spans="2:16" ht="15.75" thickBot="1" x14ac:dyDescent="0.3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</row>
    <row r="13" spans="2:16" ht="15.75" thickBot="1" x14ac:dyDescent="0.3">
      <c r="B13" s="74" t="s">
        <v>83</v>
      </c>
      <c r="C13" s="75"/>
      <c r="D13" s="75"/>
      <c r="E13" s="75"/>
      <c r="F13" s="75"/>
      <c r="G13" s="75"/>
      <c r="H13" s="76"/>
      <c r="I13" s="7" t="s">
        <v>84</v>
      </c>
      <c r="J13" s="3"/>
      <c r="K13" s="3"/>
      <c r="L13" s="3"/>
      <c r="M13" s="3"/>
      <c r="N13" s="3"/>
      <c r="O13" s="3"/>
      <c r="P13" s="3"/>
    </row>
    <row r="14" spans="2:16" s="4" customFormat="1" ht="6.75" customHeight="1" x14ac:dyDescent="0.25"/>
  </sheetData>
  <sheetProtection algorithmName="SHA-512" hashValue="43aUCcwKGIm4Z1aGKj/CTwIcutGcARGF5ODbUNKHK6UIyONYIIHT5FolMNOKmVgggNywlyFifzp8io5ojYNxcg==" saltValue="i07ClfYOQpbJNOcKLyPayA==" spinCount="100000" sheet="1" objects="1" scenarios="1"/>
  <mergeCells count="5">
    <mergeCell ref="E3:M4"/>
    <mergeCell ref="D7:F8"/>
    <mergeCell ref="H7:J8"/>
    <mergeCell ref="L7:N8"/>
    <mergeCell ref="B13:H13"/>
  </mergeCells>
  <hyperlinks>
    <hyperlink ref="D7:F8" location="Програма!A1" display="Програма" xr:uid="{75A27BE0-F62C-4052-8FDB-21DBF1FFA016}"/>
    <hyperlink ref="H7:J8" location="Резултати!A1" display="Резултати" xr:uid="{B251B5B8-B956-4885-ABAD-73B260C5600D}"/>
    <hyperlink ref="L7:N8" location="Класиране!A1" display="Класиране" xr:uid="{2085D58C-32ED-4329-BEE5-D0EF30E43483}"/>
  </hyperlink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81A1-6BDD-437D-BFE5-0C76D419B20A}">
  <sheetPr codeName="Sheet2"/>
  <dimension ref="A1:AO86"/>
  <sheetViews>
    <sheetView zoomScale="95" zoomScaleNormal="95" workbookViewId="0">
      <selection activeCell="B2" sqref="B2:C3"/>
    </sheetView>
  </sheetViews>
  <sheetFormatPr defaultColWidth="0" defaultRowHeight="15" zeroHeight="1" x14ac:dyDescent="0.25"/>
  <cols>
    <col min="1" max="1" width="1.28515625" style="13" customWidth="1"/>
    <col min="2" max="22" width="9.140625" style="14" customWidth="1"/>
    <col min="23" max="23" width="1.140625" style="13" customWidth="1"/>
    <col min="24" max="32" width="9.140625" style="14" customWidth="1"/>
    <col min="33" max="33" width="1.28515625" style="13" customWidth="1"/>
    <col min="34" max="41" width="0" hidden="1" customWidth="1"/>
    <col min="42" max="16384" width="9.140625" hidden="1"/>
  </cols>
  <sheetData>
    <row r="1" spans="1:41" s="4" customFormat="1" ht="6.75" customHeight="1" thickBo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</row>
    <row r="2" spans="1:41" s="3" customFormat="1" ht="15" customHeight="1" thickBot="1" x14ac:dyDescent="0.3">
      <c r="A2" s="13"/>
      <c r="B2" s="159" t="s">
        <v>67</v>
      </c>
      <c r="C2" s="160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3"/>
      <c r="X2" s="12"/>
      <c r="Y2" s="12"/>
      <c r="Z2" s="12"/>
      <c r="AA2" s="12"/>
      <c r="AB2" s="12"/>
      <c r="AC2" s="12"/>
      <c r="AD2" s="12"/>
      <c r="AE2" s="12"/>
      <c r="AF2" s="12"/>
      <c r="AG2" s="13"/>
    </row>
    <row r="3" spans="1:41" ht="15.75" thickBot="1" x14ac:dyDescent="0.3">
      <c r="B3" s="161"/>
      <c r="C3" s="162"/>
      <c r="D3" s="12"/>
      <c r="E3" s="12"/>
      <c r="F3" s="12"/>
      <c r="G3" s="12"/>
      <c r="H3" s="132" t="s">
        <v>29</v>
      </c>
      <c r="I3" s="133"/>
      <c r="J3" s="133"/>
      <c r="K3" s="133"/>
      <c r="L3" s="133"/>
      <c r="M3" s="133"/>
      <c r="N3" s="133"/>
      <c r="O3" s="133"/>
      <c r="P3" s="134"/>
      <c r="Q3" s="12"/>
      <c r="R3" s="12"/>
      <c r="S3" s="12"/>
      <c r="T3" s="12"/>
      <c r="U3" s="12"/>
      <c r="V3" s="12"/>
      <c r="X3" s="12"/>
      <c r="Y3" s="12"/>
      <c r="Z3" s="12"/>
      <c r="AA3" s="12"/>
      <c r="AB3" s="12"/>
      <c r="AC3" s="12"/>
      <c r="AD3" s="12"/>
      <c r="AE3" s="12"/>
      <c r="AF3" s="12"/>
    </row>
    <row r="4" spans="1:41" ht="15" customHeight="1" x14ac:dyDescent="0.25">
      <c r="B4" s="12"/>
      <c r="C4" s="12"/>
      <c r="D4" s="12"/>
      <c r="E4" s="12"/>
      <c r="F4" s="12"/>
      <c r="G4" s="12"/>
      <c r="H4" s="135"/>
      <c r="I4" s="136"/>
      <c r="J4" s="136"/>
      <c r="K4" s="136"/>
      <c r="L4" s="136"/>
      <c r="M4" s="136"/>
      <c r="N4" s="136"/>
      <c r="O4" s="136"/>
      <c r="P4" s="137"/>
      <c r="Q4" s="12"/>
      <c r="R4" s="12"/>
      <c r="S4" s="12"/>
      <c r="T4" s="12"/>
      <c r="U4" s="12"/>
      <c r="V4" s="12"/>
      <c r="X4" s="12"/>
      <c r="Y4" s="12"/>
      <c r="Z4" s="12"/>
      <c r="AA4" s="12"/>
      <c r="AB4" s="12"/>
      <c r="AC4" s="12"/>
      <c r="AD4" s="12"/>
      <c r="AE4" s="12"/>
      <c r="AF4" s="12"/>
    </row>
    <row r="5" spans="1:41" ht="15" customHeight="1" thickBot="1" x14ac:dyDescent="0.3">
      <c r="B5" s="12"/>
      <c r="C5" s="12"/>
      <c r="D5" s="12"/>
      <c r="E5" s="12"/>
      <c r="F5" s="12"/>
      <c r="G5" s="12"/>
      <c r="H5" s="135"/>
      <c r="I5" s="136"/>
      <c r="J5" s="136"/>
      <c r="K5" s="136"/>
      <c r="L5" s="136"/>
      <c r="M5" s="136"/>
      <c r="N5" s="136"/>
      <c r="O5" s="136"/>
      <c r="P5" s="137"/>
      <c r="Q5" s="12"/>
      <c r="R5" s="12"/>
      <c r="S5" s="12"/>
      <c r="T5" s="12"/>
      <c r="U5" s="12"/>
      <c r="V5" s="12"/>
      <c r="X5" s="12"/>
      <c r="Y5" s="12"/>
      <c r="Z5" s="12"/>
      <c r="AA5" s="12"/>
      <c r="AB5" s="12"/>
      <c r="AC5" s="12"/>
      <c r="AD5" s="12"/>
      <c r="AE5" s="12"/>
      <c r="AF5" s="12"/>
    </row>
    <row r="6" spans="1:41" ht="15" customHeight="1" x14ac:dyDescent="0.25">
      <c r="B6" s="12"/>
      <c r="C6" s="12"/>
      <c r="D6" s="12"/>
      <c r="E6" s="12"/>
      <c r="F6" s="12"/>
      <c r="G6" s="12"/>
      <c r="H6" s="135"/>
      <c r="I6" s="136"/>
      <c r="J6" s="136"/>
      <c r="K6" s="136"/>
      <c r="L6" s="136"/>
      <c r="M6" s="136"/>
      <c r="N6" s="136"/>
      <c r="O6" s="136"/>
      <c r="P6" s="137"/>
      <c r="Q6" s="12"/>
      <c r="R6" s="12"/>
      <c r="S6" s="12"/>
      <c r="T6" s="12"/>
      <c r="U6" s="12"/>
      <c r="V6" s="12"/>
      <c r="X6" s="12"/>
      <c r="Y6" s="12"/>
      <c r="Z6" s="12"/>
      <c r="AA6" s="141" t="s">
        <v>23</v>
      </c>
      <c r="AB6" s="142"/>
      <c r="AC6" s="143"/>
      <c r="AD6" s="12"/>
      <c r="AE6" s="12"/>
      <c r="AF6" s="12"/>
    </row>
    <row r="7" spans="1:41" ht="15" customHeight="1" x14ac:dyDescent="0.25">
      <c r="B7" s="12"/>
      <c r="C7" s="12"/>
      <c r="D7" s="12"/>
      <c r="E7" s="12"/>
      <c r="F7" s="12"/>
      <c r="G7" s="12"/>
      <c r="H7" s="135"/>
      <c r="I7" s="136"/>
      <c r="J7" s="136"/>
      <c r="K7" s="136"/>
      <c r="L7" s="136"/>
      <c r="M7" s="136"/>
      <c r="N7" s="136"/>
      <c r="O7" s="136"/>
      <c r="P7" s="137"/>
      <c r="Q7" s="12"/>
      <c r="R7" s="12"/>
      <c r="S7" s="12"/>
      <c r="T7" s="12"/>
      <c r="U7" s="12"/>
      <c r="V7" s="12"/>
      <c r="X7" s="12"/>
      <c r="Y7" s="12"/>
      <c r="Z7" s="12"/>
      <c r="AA7" s="144"/>
      <c r="AB7" s="145"/>
      <c r="AC7" s="146"/>
      <c r="AD7" s="12"/>
      <c r="AE7" s="12"/>
      <c r="AF7" s="12"/>
    </row>
    <row r="8" spans="1:41" ht="15" customHeight="1" thickBot="1" x14ac:dyDescent="0.3">
      <c r="B8" s="12"/>
      <c r="C8" s="12"/>
      <c r="D8" s="12"/>
      <c r="E8" s="12"/>
      <c r="F8" s="12"/>
      <c r="G8" s="12"/>
      <c r="H8" s="138"/>
      <c r="I8" s="139"/>
      <c r="J8" s="139"/>
      <c r="K8" s="139"/>
      <c r="L8" s="139"/>
      <c r="M8" s="139"/>
      <c r="N8" s="139"/>
      <c r="O8" s="139"/>
      <c r="P8" s="140"/>
      <c r="Q8" s="12"/>
      <c r="R8" s="12"/>
      <c r="S8" s="12"/>
      <c r="T8" s="12"/>
      <c r="U8" s="12"/>
      <c r="V8" s="12"/>
      <c r="X8" s="12"/>
      <c r="Y8" s="12"/>
      <c r="Z8" s="12"/>
      <c r="AA8" s="147"/>
      <c r="AB8" s="148"/>
      <c r="AC8" s="149"/>
      <c r="AD8" s="12"/>
      <c r="AE8" s="12"/>
      <c r="AF8" s="12"/>
    </row>
    <row r="9" spans="1:41" ht="15.75" thickBot="1" x14ac:dyDescent="0.3"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X9" s="12"/>
      <c r="Y9" s="12"/>
      <c r="Z9" s="12"/>
      <c r="AA9" s="12"/>
      <c r="AB9" s="12"/>
      <c r="AC9" s="12"/>
      <c r="AD9" s="12"/>
      <c r="AE9" s="12"/>
      <c r="AF9" s="12"/>
    </row>
    <row r="10" spans="1:41" ht="15" customHeight="1" x14ac:dyDescent="0.25">
      <c r="B10" s="12"/>
      <c r="C10" s="120" t="s">
        <v>2</v>
      </c>
      <c r="D10" s="121"/>
      <c r="E10" s="121"/>
      <c r="F10" s="121"/>
      <c r="G10" s="121"/>
      <c r="H10" s="121"/>
      <c r="I10" s="121"/>
      <c r="J10" s="121"/>
      <c r="K10" s="122"/>
      <c r="L10" s="12"/>
      <c r="M10" s="120" t="s">
        <v>3</v>
      </c>
      <c r="N10" s="121"/>
      <c r="O10" s="121"/>
      <c r="P10" s="121"/>
      <c r="Q10" s="121"/>
      <c r="R10" s="121"/>
      <c r="S10" s="121"/>
      <c r="T10" s="121"/>
      <c r="U10" s="122"/>
      <c r="V10" s="12"/>
      <c r="W10" s="16"/>
      <c r="X10" s="15"/>
      <c r="Y10" s="120" t="s">
        <v>2</v>
      </c>
      <c r="Z10" s="121"/>
      <c r="AA10" s="122"/>
      <c r="AB10" s="15"/>
      <c r="AC10" s="120" t="s">
        <v>3</v>
      </c>
      <c r="AD10" s="121"/>
      <c r="AE10" s="122"/>
      <c r="AF10" s="12"/>
      <c r="AG10" s="16"/>
      <c r="AH10" s="1"/>
      <c r="AI10" s="1"/>
      <c r="AJ10" s="1"/>
      <c r="AK10" s="1"/>
      <c r="AL10" s="1"/>
      <c r="AM10" s="1"/>
      <c r="AN10" s="1"/>
      <c r="AO10" s="1"/>
    </row>
    <row r="11" spans="1:41" ht="15" customHeight="1" thickBot="1" x14ac:dyDescent="0.3">
      <c r="B11" s="12"/>
      <c r="C11" s="123"/>
      <c r="D11" s="124"/>
      <c r="E11" s="124"/>
      <c r="F11" s="124"/>
      <c r="G11" s="124"/>
      <c r="H11" s="124"/>
      <c r="I11" s="124"/>
      <c r="J11" s="124"/>
      <c r="K11" s="125"/>
      <c r="L11" s="12"/>
      <c r="M11" s="123"/>
      <c r="N11" s="124"/>
      <c r="O11" s="124"/>
      <c r="P11" s="124"/>
      <c r="Q11" s="124"/>
      <c r="R11" s="124"/>
      <c r="S11" s="124"/>
      <c r="T11" s="124"/>
      <c r="U11" s="125"/>
      <c r="V11" s="12"/>
      <c r="W11" s="16"/>
      <c r="X11" s="15"/>
      <c r="Y11" s="123"/>
      <c r="Z11" s="124"/>
      <c r="AA11" s="125"/>
      <c r="AB11" s="15"/>
      <c r="AC11" s="123"/>
      <c r="AD11" s="124"/>
      <c r="AE11" s="125"/>
      <c r="AF11" s="12"/>
      <c r="AG11" s="16"/>
      <c r="AH11" s="1"/>
      <c r="AI11" s="1"/>
      <c r="AJ11" s="1"/>
      <c r="AK11" s="1"/>
      <c r="AL11" s="1"/>
      <c r="AM11" s="1"/>
      <c r="AN11" s="1"/>
      <c r="AO11" s="1"/>
    </row>
    <row r="12" spans="1:41" ht="15.75" thickBot="1" x14ac:dyDescent="0.3"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41" x14ac:dyDescent="0.25">
      <c r="B13" s="12"/>
      <c r="C13" s="19" t="s">
        <v>20</v>
      </c>
      <c r="D13" s="83" t="s">
        <v>21</v>
      </c>
      <c r="E13" s="83"/>
      <c r="F13" s="84" t="s">
        <v>22</v>
      </c>
      <c r="G13" s="84"/>
      <c r="H13" s="152" t="s">
        <v>0</v>
      </c>
      <c r="I13" s="152"/>
      <c r="J13" s="152" t="s">
        <v>1</v>
      </c>
      <c r="K13" s="153"/>
      <c r="L13" s="12"/>
      <c r="M13" s="19" t="s">
        <v>20</v>
      </c>
      <c r="N13" s="83" t="s">
        <v>21</v>
      </c>
      <c r="O13" s="83"/>
      <c r="P13" s="84" t="s">
        <v>22</v>
      </c>
      <c r="Q13" s="84"/>
      <c r="R13" s="152" t="s">
        <v>0</v>
      </c>
      <c r="S13" s="152"/>
      <c r="T13" s="152" t="s">
        <v>1</v>
      </c>
      <c r="U13" s="153"/>
      <c r="V13" s="12"/>
      <c r="W13" s="45"/>
      <c r="X13" s="46"/>
      <c r="Y13" s="47" t="s">
        <v>6</v>
      </c>
      <c r="Z13" s="84" t="s">
        <v>7</v>
      </c>
      <c r="AA13" s="85"/>
      <c r="AB13" s="12"/>
      <c r="AC13" s="47" t="s">
        <v>6</v>
      </c>
      <c r="AD13" s="84" t="s">
        <v>7</v>
      </c>
      <c r="AE13" s="85"/>
      <c r="AF13" s="12"/>
      <c r="AG13" s="48"/>
      <c r="AK13" s="2"/>
    </row>
    <row r="14" spans="1:41" x14ac:dyDescent="0.25">
      <c r="B14" s="12"/>
      <c r="C14" s="24">
        <v>1</v>
      </c>
      <c r="D14" s="102">
        <v>44800</v>
      </c>
      <c r="E14" s="102"/>
      <c r="F14" s="103">
        <v>0.77083333333333337</v>
      </c>
      <c r="G14" s="150"/>
      <c r="H14" s="99" t="str">
        <f>IF(Z14="","-",Z14)</f>
        <v>Сърбия</v>
      </c>
      <c r="I14" s="99"/>
      <c r="J14" s="99" t="str">
        <f>IF(Z15="","-",Z15)</f>
        <v>Украйна</v>
      </c>
      <c r="K14" s="100"/>
      <c r="L14" s="12"/>
      <c r="M14" s="28">
        <v>1</v>
      </c>
      <c r="N14" s="102">
        <v>44800</v>
      </c>
      <c r="O14" s="102"/>
      <c r="P14" s="103">
        <v>0.77083333333333337</v>
      </c>
      <c r="Q14" s="103"/>
      <c r="R14" s="99" t="str">
        <f>IF(AD14="","-",AD14)</f>
        <v>Бразилия</v>
      </c>
      <c r="S14" s="99"/>
      <c r="T14" s="99" t="str">
        <f>IF(AD15="","-",AD15)</f>
        <v>Япония</v>
      </c>
      <c r="U14" s="100"/>
      <c r="V14" s="12"/>
      <c r="X14" s="12"/>
      <c r="Y14" s="28">
        <v>1</v>
      </c>
      <c r="Z14" s="154" t="s">
        <v>51</v>
      </c>
      <c r="AA14" s="155"/>
      <c r="AB14" s="12"/>
      <c r="AC14" s="28">
        <v>1</v>
      </c>
      <c r="AD14" s="154" t="s">
        <v>55</v>
      </c>
      <c r="AE14" s="155"/>
      <c r="AF14" s="12"/>
    </row>
    <row r="15" spans="1:41" x14ac:dyDescent="0.25">
      <c r="B15" s="12"/>
      <c r="C15" s="24">
        <v>2</v>
      </c>
      <c r="D15" s="102">
        <v>44801</v>
      </c>
      <c r="E15" s="102"/>
      <c r="F15" s="103">
        <v>0.8125</v>
      </c>
      <c r="G15" s="150"/>
      <c r="H15" s="99" t="str">
        <f>IF(Z16="","-",Z16)</f>
        <v>Тунис</v>
      </c>
      <c r="I15" s="99"/>
      <c r="J15" s="99" t="str">
        <f>IF(Z17="","-",Z17)</f>
        <v>Пуерто Рико</v>
      </c>
      <c r="K15" s="100"/>
      <c r="L15" s="12"/>
      <c r="M15" s="28">
        <v>2</v>
      </c>
      <c r="N15" s="102">
        <v>44801</v>
      </c>
      <c r="O15" s="102"/>
      <c r="P15" s="103">
        <v>0.8125</v>
      </c>
      <c r="Q15" s="103"/>
      <c r="R15" s="99" t="str">
        <f>IF(AD16="","-",AD16)</f>
        <v>Куба</v>
      </c>
      <c r="S15" s="99"/>
      <c r="T15" s="99" t="str">
        <f>IF(AD17="","-",AD17)</f>
        <v>Катар</v>
      </c>
      <c r="U15" s="100"/>
      <c r="V15" s="12"/>
      <c r="X15" s="12"/>
      <c r="Y15" s="28">
        <v>2</v>
      </c>
      <c r="Z15" s="154" t="s">
        <v>52</v>
      </c>
      <c r="AA15" s="155"/>
      <c r="AB15" s="12"/>
      <c r="AC15" s="28">
        <v>2</v>
      </c>
      <c r="AD15" s="154" t="s">
        <v>58</v>
      </c>
      <c r="AE15" s="155"/>
      <c r="AF15" s="12"/>
    </row>
    <row r="16" spans="1:41" x14ac:dyDescent="0.25">
      <c r="B16" s="12"/>
      <c r="C16" s="24">
        <v>3</v>
      </c>
      <c r="D16" s="102">
        <v>44802</v>
      </c>
      <c r="E16" s="102"/>
      <c r="F16" s="103">
        <v>0.85416666666666696</v>
      </c>
      <c r="G16" s="150"/>
      <c r="H16" s="99" t="str">
        <f>IF(Z15="","-",Z15)</f>
        <v>Украйна</v>
      </c>
      <c r="I16" s="99"/>
      <c r="J16" s="99" t="str">
        <f>IF(Z17="","-",Z17)</f>
        <v>Пуерто Рико</v>
      </c>
      <c r="K16" s="100"/>
      <c r="L16" s="12"/>
      <c r="M16" s="28">
        <v>3</v>
      </c>
      <c r="N16" s="102">
        <v>44802</v>
      </c>
      <c r="O16" s="102"/>
      <c r="P16" s="103">
        <v>0.85416666666666696</v>
      </c>
      <c r="Q16" s="103"/>
      <c r="R16" s="99" t="str">
        <f>IF(AD15="","-",AD15)</f>
        <v>Япония</v>
      </c>
      <c r="S16" s="99"/>
      <c r="T16" s="99" t="str">
        <f>IF(AD17="","-",AD17)</f>
        <v>Катар</v>
      </c>
      <c r="U16" s="100"/>
      <c r="V16" s="12"/>
      <c r="X16" s="12"/>
      <c r="Y16" s="28">
        <v>3</v>
      </c>
      <c r="Z16" s="154" t="s">
        <v>53</v>
      </c>
      <c r="AA16" s="155"/>
      <c r="AB16" s="12"/>
      <c r="AC16" s="28">
        <v>3</v>
      </c>
      <c r="AD16" s="154" t="s">
        <v>57</v>
      </c>
      <c r="AE16" s="155"/>
      <c r="AF16" s="12"/>
    </row>
    <row r="17" spans="2:32" ht="15.75" thickBot="1" x14ac:dyDescent="0.3">
      <c r="B17" s="12"/>
      <c r="C17" s="24">
        <v>4</v>
      </c>
      <c r="D17" s="102">
        <v>44803</v>
      </c>
      <c r="E17" s="102"/>
      <c r="F17" s="103">
        <v>0.89583333333333304</v>
      </c>
      <c r="G17" s="150"/>
      <c r="H17" s="99" t="str">
        <f>IF(Z14="","-",Z14)</f>
        <v>Сърбия</v>
      </c>
      <c r="I17" s="99"/>
      <c r="J17" s="99" t="str">
        <f>IF(Z16="","-",Z16)</f>
        <v>Тунис</v>
      </c>
      <c r="K17" s="100"/>
      <c r="L17" s="12"/>
      <c r="M17" s="28">
        <v>4</v>
      </c>
      <c r="N17" s="102">
        <v>44803</v>
      </c>
      <c r="O17" s="102"/>
      <c r="P17" s="103">
        <v>0.89583333333333304</v>
      </c>
      <c r="Q17" s="103"/>
      <c r="R17" s="99" t="str">
        <f>IF(AD14="","-",AD14)</f>
        <v>Бразилия</v>
      </c>
      <c r="S17" s="99"/>
      <c r="T17" s="99" t="str">
        <f>IF(AD16="","-",AD16)</f>
        <v>Куба</v>
      </c>
      <c r="U17" s="100"/>
      <c r="V17" s="12"/>
      <c r="X17" s="12"/>
      <c r="Y17" s="34">
        <v>4</v>
      </c>
      <c r="Z17" s="156" t="s">
        <v>54</v>
      </c>
      <c r="AA17" s="157"/>
      <c r="AB17" s="12"/>
      <c r="AC17" s="34">
        <v>4</v>
      </c>
      <c r="AD17" s="156" t="s">
        <v>56</v>
      </c>
      <c r="AE17" s="157"/>
      <c r="AF17" s="12"/>
    </row>
    <row r="18" spans="2:32" x14ac:dyDescent="0.25">
      <c r="B18" s="12"/>
      <c r="C18" s="24">
        <v>5</v>
      </c>
      <c r="D18" s="102">
        <v>44804</v>
      </c>
      <c r="E18" s="102"/>
      <c r="F18" s="103">
        <v>0.9375</v>
      </c>
      <c r="G18" s="150"/>
      <c r="H18" s="99" t="str">
        <f>IF(Z15="","-",Z15)</f>
        <v>Украйна</v>
      </c>
      <c r="I18" s="99"/>
      <c r="J18" s="99" t="str">
        <f>IF(Z16="","-",Z16)</f>
        <v>Тунис</v>
      </c>
      <c r="K18" s="100"/>
      <c r="L18" s="12"/>
      <c r="M18" s="28">
        <v>5</v>
      </c>
      <c r="N18" s="102">
        <v>44804</v>
      </c>
      <c r="O18" s="102"/>
      <c r="P18" s="103">
        <v>0.9375</v>
      </c>
      <c r="Q18" s="103"/>
      <c r="R18" s="99" t="str">
        <f>IF(AD15="","-",AD15)</f>
        <v>Япония</v>
      </c>
      <c r="S18" s="99"/>
      <c r="T18" s="99" t="str">
        <f>IF(AD16="","-",AD16)</f>
        <v>Куба</v>
      </c>
      <c r="U18" s="100"/>
      <c r="V18" s="12"/>
      <c r="X18" s="12"/>
      <c r="Y18" s="12"/>
      <c r="Z18" s="12"/>
      <c r="AA18" s="12"/>
      <c r="AB18" s="12"/>
      <c r="AC18" s="12"/>
      <c r="AD18" s="12"/>
      <c r="AE18" s="12"/>
      <c r="AF18" s="12"/>
    </row>
    <row r="19" spans="2:32" ht="15.75" thickBot="1" x14ac:dyDescent="0.3">
      <c r="B19" s="12"/>
      <c r="C19" s="30">
        <v>6</v>
      </c>
      <c r="D19" s="86">
        <v>44805</v>
      </c>
      <c r="E19" s="86"/>
      <c r="F19" s="87">
        <v>0.97916666666666696</v>
      </c>
      <c r="G19" s="151"/>
      <c r="H19" s="88" t="str">
        <f>IF(Z17="","-",Z17)</f>
        <v>Пуерто Рико</v>
      </c>
      <c r="I19" s="88"/>
      <c r="J19" s="88" t="str">
        <f>IF(Z14="","-",Z14)</f>
        <v>Сърбия</v>
      </c>
      <c r="K19" s="89"/>
      <c r="L19" s="12"/>
      <c r="M19" s="34">
        <v>6</v>
      </c>
      <c r="N19" s="86">
        <v>44805</v>
      </c>
      <c r="O19" s="86"/>
      <c r="P19" s="87">
        <v>0.97916666666666696</v>
      </c>
      <c r="Q19" s="87"/>
      <c r="R19" s="88" t="str">
        <f>IF(AD17="","-",AD17)</f>
        <v>Катар</v>
      </c>
      <c r="S19" s="88"/>
      <c r="T19" s="88" t="str">
        <f>IF(AD14="","-",AD14)</f>
        <v>Бразилия</v>
      </c>
      <c r="U19" s="89"/>
      <c r="V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2:32" x14ac:dyDescent="0.25"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2:32" ht="15.75" thickBot="1" x14ac:dyDescent="0.3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2:32" x14ac:dyDescent="0.25">
      <c r="B22" s="12"/>
      <c r="C22" s="120" t="s">
        <v>15</v>
      </c>
      <c r="D22" s="121"/>
      <c r="E22" s="121"/>
      <c r="F22" s="121"/>
      <c r="G22" s="121"/>
      <c r="H22" s="121"/>
      <c r="I22" s="121"/>
      <c r="J22" s="121"/>
      <c r="K22" s="122"/>
      <c r="L22" s="12"/>
      <c r="M22" s="120" t="s">
        <v>5</v>
      </c>
      <c r="N22" s="121"/>
      <c r="O22" s="121"/>
      <c r="P22" s="121"/>
      <c r="Q22" s="121"/>
      <c r="R22" s="121"/>
      <c r="S22" s="121"/>
      <c r="T22" s="121"/>
      <c r="U22" s="122"/>
      <c r="V22" s="12"/>
      <c r="X22" s="12"/>
      <c r="Y22" s="120" t="s">
        <v>15</v>
      </c>
      <c r="Z22" s="121"/>
      <c r="AA22" s="122"/>
      <c r="AB22" s="12"/>
      <c r="AC22" s="120" t="s">
        <v>5</v>
      </c>
      <c r="AD22" s="121"/>
      <c r="AE22" s="122"/>
      <c r="AF22" s="12"/>
    </row>
    <row r="23" spans="2:32" ht="15.75" thickBot="1" x14ac:dyDescent="0.3">
      <c r="B23" s="12"/>
      <c r="C23" s="123"/>
      <c r="D23" s="124"/>
      <c r="E23" s="124"/>
      <c r="F23" s="124"/>
      <c r="G23" s="124"/>
      <c r="H23" s="124"/>
      <c r="I23" s="124"/>
      <c r="J23" s="124"/>
      <c r="K23" s="125"/>
      <c r="L23" s="12"/>
      <c r="M23" s="123"/>
      <c r="N23" s="124"/>
      <c r="O23" s="124"/>
      <c r="P23" s="124"/>
      <c r="Q23" s="124"/>
      <c r="R23" s="124"/>
      <c r="S23" s="124"/>
      <c r="T23" s="124"/>
      <c r="U23" s="125"/>
      <c r="V23" s="12"/>
      <c r="X23" s="12"/>
      <c r="Y23" s="123"/>
      <c r="Z23" s="124"/>
      <c r="AA23" s="125"/>
      <c r="AB23" s="12"/>
      <c r="AC23" s="123"/>
      <c r="AD23" s="124"/>
      <c r="AE23" s="125"/>
      <c r="AF23" s="12"/>
    </row>
    <row r="24" spans="2:32" ht="15.75" thickBot="1" x14ac:dyDescent="0.3"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49"/>
      <c r="M24" s="12"/>
      <c r="N24" s="12"/>
      <c r="O24" s="12"/>
      <c r="P24" s="12"/>
      <c r="Q24" s="12"/>
      <c r="R24" s="12"/>
      <c r="S24" s="12"/>
      <c r="T24" s="12"/>
      <c r="U24" s="12"/>
      <c r="V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2:32" x14ac:dyDescent="0.25">
      <c r="B25" s="12"/>
      <c r="C25" s="19" t="s">
        <v>20</v>
      </c>
      <c r="D25" s="83" t="s">
        <v>21</v>
      </c>
      <c r="E25" s="83"/>
      <c r="F25" s="84" t="s">
        <v>22</v>
      </c>
      <c r="G25" s="84"/>
      <c r="H25" s="152" t="s">
        <v>0</v>
      </c>
      <c r="I25" s="152"/>
      <c r="J25" s="152" t="s">
        <v>1</v>
      </c>
      <c r="K25" s="153"/>
      <c r="L25" s="12"/>
      <c r="M25" s="19" t="s">
        <v>20</v>
      </c>
      <c r="N25" s="83" t="s">
        <v>21</v>
      </c>
      <c r="O25" s="83"/>
      <c r="P25" s="84" t="s">
        <v>22</v>
      </c>
      <c r="Q25" s="84"/>
      <c r="R25" s="152" t="s">
        <v>0</v>
      </c>
      <c r="S25" s="152"/>
      <c r="T25" s="152" t="s">
        <v>1</v>
      </c>
      <c r="U25" s="153"/>
      <c r="V25" s="12"/>
      <c r="X25" s="12"/>
      <c r="Y25" s="47" t="s">
        <v>6</v>
      </c>
      <c r="Z25" s="84" t="s">
        <v>7</v>
      </c>
      <c r="AA25" s="85"/>
      <c r="AB25" s="12"/>
      <c r="AC25" s="47" t="s">
        <v>6</v>
      </c>
      <c r="AD25" s="84" t="s">
        <v>7</v>
      </c>
      <c r="AE25" s="85"/>
      <c r="AF25" s="12"/>
    </row>
    <row r="26" spans="2:32" x14ac:dyDescent="0.25">
      <c r="B26" s="12"/>
      <c r="C26" s="28">
        <v>1</v>
      </c>
      <c r="D26" s="102">
        <v>44805</v>
      </c>
      <c r="E26" s="102"/>
      <c r="F26" s="103">
        <v>0.77083333333333337</v>
      </c>
      <c r="G26" s="103"/>
      <c r="H26" s="99" t="str">
        <f>IF(Z26="","-",Z26)</f>
        <v>Полша</v>
      </c>
      <c r="I26" s="99"/>
      <c r="J26" s="99" t="str">
        <f>IF(Z27="","-",Z27)</f>
        <v xml:space="preserve">САЩ </v>
      </c>
      <c r="K26" s="100"/>
      <c r="L26" s="12"/>
      <c r="M26" s="28">
        <v>1</v>
      </c>
      <c r="N26" s="102">
        <v>44805</v>
      </c>
      <c r="O26" s="102"/>
      <c r="P26" s="103">
        <v>0.77083333333333337</v>
      </c>
      <c r="Q26" s="103"/>
      <c r="R26" s="99" t="str">
        <f>IF(AD26="","-",AD26)</f>
        <v>Франция</v>
      </c>
      <c r="S26" s="99"/>
      <c r="T26" s="99" t="str">
        <f>IF(AD27="","-",AD27)</f>
        <v>Словения</v>
      </c>
      <c r="U26" s="100"/>
      <c r="V26" s="12"/>
      <c r="X26" s="12"/>
      <c r="Y26" s="28">
        <v>1</v>
      </c>
      <c r="Z26" s="154" t="s">
        <v>16</v>
      </c>
      <c r="AA26" s="155"/>
      <c r="AB26" s="12"/>
      <c r="AC26" s="28">
        <v>1</v>
      </c>
      <c r="AD26" s="154" t="s">
        <v>59</v>
      </c>
      <c r="AE26" s="155"/>
      <c r="AF26" s="12"/>
    </row>
    <row r="27" spans="2:32" x14ac:dyDescent="0.25">
      <c r="B27" s="12"/>
      <c r="C27" s="28">
        <v>2</v>
      </c>
      <c r="D27" s="102">
        <v>44806</v>
      </c>
      <c r="E27" s="102"/>
      <c r="F27" s="103">
        <v>0.8125</v>
      </c>
      <c r="G27" s="103"/>
      <c r="H27" s="99" t="str">
        <f>IF(Z28="","-",Z28)</f>
        <v>Мексико</v>
      </c>
      <c r="I27" s="99"/>
      <c r="J27" s="99" t="str">
        <f>IF(Z29="","-",Z29)</f>
        <v>България</v>
      </c>
      <c r="K27" s="100"/>
      <c r="L27" s="12"/>
      <c r="M27" s="28">
        <v>2</v>
      </c>
      <c r="N27" s="102">
        <v>44806</v>
      </c>
      <c r="O27" s="102"/>
      <c r="P27" s="103">
        <v>0.8125</v>
      </c>
      <c r="Q27" s="103"/>
      <c r="R27" s="99" t="str">
        <f>IF(AD28="","-",AD28)</f>
        <v>Германия</v>
      </c>
      <c r="S27" s="99"/>
      <c r="T27" s="99" t="str">
        <f>IF(AD29="","-",AD29)</f>
        <v>Камерун</v>
      </c>
      <c r="U27" s="100"/>
      <c r="V27" s="12"/>
      <c r="X27" s="12"/>
      <c r="Y27" s="28">
        <v>2</v>
      </c>
      <c r="Z27" s="154" t="s">
        <v>17</v>
      </c>
      <c r="AA27" s="155"/>
      <c r="AB27" s="12"/>
      <c r="AC27" s="28">
        <v>2</v>
      </c>
      <c r="AD27" s="154" t="s">
        <v>60</v>
      </c>
      <c r="AE27" s="155"/>
      <c r="AF27" s="12"/>
    </row>
    <row r="28" spans="2:32" x14ac:dyDescent="0.25">
      <c r="B28" s="12"/>
      <c r="C28" s="28">
        <v>3</v>
      </c>
      <c r="D28" s="102">
        <v>44807</v>
      </c>
      <c r="E28" s="102"/>
      <c r="F28" s="103">
        <v>0.85416666666666696</v>
      </c>
      <c r="G28" s="103"/>
      <c r="H28" s="99" t="str">
        <f>IF(Z27="","-",Z27)</f>
        <v xml:space="preserve">САЩ </v>
      </c>
      <c r="I28" s="99"/>
      <c r="J28" s="99" t="str">
        <f>IF(Z29="","-",Z29)</f>
        <v>България</v>
      </c>
      <c r="K28" s="100"/>
      <c r="L28" s="12"/>
      <c r="M28" s="28">
        <v>3</v>
      </c>
      <c r="N28" s="102">
        <v>44807</v>
      </c>
      <c r="O28" s="102"/>
      <c r="P28" s="103">
        <v>0.85416666666666696</v>
      </c>
      <c r="Q28" s="103"/>
      <c r="R28" s="99" t="str">
        <f>IF(AD27="","-",AD27)</f>
        <v>Словения</v>
      </c>
      <c r="S28" s="99"/>
      <c r="T28" s="99" t="str">
        <f>IF(AD29="","-",AD29)</f>
        <v>Камерун</v>
      </c>
      <c r="U28" s="100"/>
      <c r="V28" s="12"/>
      <c r="X28" s="12"/>
      <c r="Y28" s="28">
        <v>3</v>
      </c>
      <c r="Z28" s="154" t="s">
        <v>18</v>
      </c>
      <c r="AA28" s="155"/>
      <c r="AB28" s="12"/>
      <c r="AC28" s="50">
        <v>3</v>
      </c>
      <c r="AD28" s="154" t="s">
        <v>61</v>
      </c>
      <c r="AE28" s="155"/>
      <c r="AF28" s="12"/>
    </row>
    <row r="29" spans="2:32" ht="15.75" thickBot="1" x14ac:dyDescent="0.3">
      <c r="B29" s="12"/>
      <c r="C29" s="28">
        <v>4</v>
      </c>
      <c r="D29" s="102">
        <v>44808</v>
      </c>
      <c r="E29" s="102"/>
      <c r="F29" s="103">
        <v>0.89583333333333304</v>
      </c>
      <c r="G29" s="103"/>
      <c r="H29" s="99" t="str">
        <f>IF(Z26="","-",Z26)</f>
        <v>Полша</v>
      </c>
      <c r="I29" s="99"/>
      <c r="J29" s="99" t="str">
        <f>IF(Z28="","-",Z28)</f>
        <v>Мексико</v>
      </c>
      <c r="K29" s="100"/>
      <c r="L29" s="12"/>
      <c r="M29" s="28">
        <v>4</v>
      </c>
      <c r="N29" s="102">
        <v>44808</v>
      </c>
      <c r="O29" s="102"/>
      <c r="P29" s="103">
        <v>0.89583333333333304</v>
      </c>
      <c r="Q29" s="103"/>
      <c r="R29" s="99" t="str">
        <f>IF(AD26="","-",AD26)</f>
        <v>Франция</v>
      </c>
      <c r="S29" s="99"/>
      <c r="T29" s="99" t="str">
        <f>IF(AD28="","-",AD28)</f>
        <v>Германия</v>
      </c>
      <c r="U29" s="100"/>
      <c r="V29" s="12"/>
      <c r="X29" s="12"/>
      <c r="Y29" s="34">
        <v>4</v>
      </c>
      <c r="Z29" s="156" t="s">
        <v>19</v>
      </c>
      <c r="AA29" s="157"/>
      <c r="AB29" s="12"/>
      <c r="AC29" s="34">
        <v>4</v>
      </c>
      <c r="AD29" s="158" t="s">
        <v>62</v>
      </c>
      <c r="AE29" s="157"/>
      <c r="AF29" s="12"/>
    </row>
    <row r="30" spans="2:32" x14ac:dyDescent="0.25">
      <c r="B30" s="12"/>
      <c r="C30" s="28">
        <v>5</v>
      </c>
      <c r="D30" s="102">
        <v>44809</v>
      </c>
      <c r="E30" s="102"/>
      <c r="F30" s="103">
        <v>0.9375</v>
      </c>
      <c r="G30" s="103"/>
      <c r="H30" s="99" t="str">
        <f>IF(Z27="","-",Z27)</f>
        <v xml:space="preserve">САЩ </v>
      </c>
      <c r="I30" s="99"/>
      <c r="J30" s="99" t="str">
        <f>IF(Z28="","-",Z28)</f>
        <v>Мексико</v>
      </c>
      <c r="K30" s="100"/>
      <c r="L30" s="12"/>
      <c r="M30" s="28">
        <v>5</v>
      </c>
      <c r="N30" s="102">
        <v>44809</v>
      </c>
      <c r="O30" s="102"/>
      <c r="P30" s="103">
        <v>0.9375</v>
      </c>
      <c r="Q30" s="103"/>
      <c r="R30" s="99" t="str">
        <f>IF(AD27="","-",AD27)</f>
        <v>Словения</v>
      </c>
      <c r="S30" s="99"/>
      <c r="T30" s="99" t="str">
        <f>IF(AD28="","-",AD28)</f>
        <v>Германия</v>
      </c>
      <c r="U30" s="100"/>
      <c r="V30" s="12"/>
      <c r="X30" s="12"/>
      <c r="Y30" s="12"/>
      <c r="Z30" s="12"/>
      <c r="AA30" s="12"/>
      <c r="AB30" s="12"/>
      <c r="AC30" s="12"/>
      <c r="AD30" s="12"/>
      <c r="AE30" s="12"/>
      <c r="AF30" s="12"/>
    </row>
    <row r="31" spans="2:32" ht="15.75" thickBot="1" x14ac:dyDescent="0.3">
      <c r="B31" s="12"/>
      <c r="C31" s="34">
        <v>6</v>
      </c>
      <c r="D31" s="86">
        <v>44810</v>
      </c>
      <c r="E31" s="86"/>
      <c r="F31" s="87">
        <v>0.97916666666666696</v>
      </c>
      <c r="G31" s="87"/>
      <c r="H31" s="88" t="str">
        <f>IF(Z29="","-",Z29)</f>
        <v>България</v>
      </c>
      <c r="I31" s="88"/>
      <c r="J31" s="88" t="str">
        <f>IF(Z26="","-",Z26)</f>
        <v>Полша</v>
      </c>
      <c r="K31" s="89"/>
      <c r="L31" s="12"/>
      <c r="M31" s="34">
        <v>6</v>
      </c>
      <c r="N31" s="86">
        <v>44810</v>
      </c>
      <c r="O31" s="86"/>
      <c r="P31" s="87">
        <v>0.97916666666666696</v>
      </c>
      <c r="Q31" s="87"/>
      <c r="R31" s="88" t="str">
        <f>IF(AD29="","-",AD29)</f>
        <v>Камерун</v>
      </c>
      <c r="S31" s="88"/>
      <c r="T31" s="88" t="str">
        <f>IF(AD26="","-",AD26)</f>
        <v>Франция</v>
      </c>
      <c r="U31" s="89"/>
      <c r="V31" s="12"/>
      <c r="X31" s="12"/>
      <c r="Y31" s="12"/>
      <c r="Z31" s="12"/>
      <c r="AA31" s="12"/>
      <c r="AB31" s="12"/>
      <c r="AC31" s="12"/>
      <c r="AD31" s="12"/>
      <c r="AE31" s="12"/>
      <c r="AF31" s="12"/>
    </row>
    <row r="32" spans="2:32" x14ac:dyDescent="0.25"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1:33" s="4" customFormat="1" ht="6.75" customHeight="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</row>
    <row r="34" spans="1:33" ht="15.75" thickBot="1" x14ac:dyDescent="0.3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3" ht="15" customHeight="1" x14ac:dyDescent="0.25">
      <c r="B35" s="12"/>
      <c r="C35" s="12"/>
      <c r="D35" s="12"/>
      <c r="E35" s="12"/>
      <c r="F35" s="12"/>
      <c r="G35" s="12"/>
      <c r="H35" s="104" t="s">
        <v>35</v>
      </c>
      <c r="I35" s="105"/>
      <c r="J35" s="105"/>
      <c r="K35" s="105"/>
      <c r="L35" s="105"/>
      <c r="M35" s="105"/>
      <c r="N35" s="105"/>
      <c r="O35" s="105"/>
      <c r="P35" s="106"/>
      <c r="Q35" s="12"/>
      <c r="R35" s="12"/>
      <c r="S35" s="12"/>
      <c r="T35" s="12"/>
      <c r="U35" s="12"/>
      <c r="V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3" ht="15" customHeight="1" x14ac:dyDescent="0.25">
      <c r="B36" s="12"/>
      <c r="C36" s="12"/>
      <c r="D36" s="12"/>
      <c r="E36" s="12"/>
      <c r="F36" s="12"/>
      <c r="G36" s="12"/>
      <c r="H36" s="107"/>
      <c r="I36" s="108"/>
      <c r="J36" s="108"/>
      <c r="K36" s="108"/>
      <c r="L36" s="108"/>
      <c r="M36" s="108"/>
      <c r="N36" s="108"/>
      <c r="O36" s="108"/>
      <c r="P36" s="109"/>
      <c r="Q36" s="12"/>
      <c r="R36" s="12"/>
      <c r="S36" s="12"/>
      <c r="T36" s="12"/>
      <c r="U36" s="12"/>
      <c r="V36" s="51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3" ht="15" customHeight="1" thickBot="1" x14ac:dyDescent="0.3">
      <c r="B37" s="12"/>
      <c r="C37" s="12"/>
      <c r="D37" s="12"/>
      <c r="E37" s="12"/>
      <c r="F37" s="12"/>
      <c r="G37" s="12"/>
      <c r="H37" s="107"/>
      <c r="I37" s="108"/>
      <c r="J37" s="108"/>
      <c r="K37" s="108"/>
      <c r="L37" s="108"/>
      <c r="M37" s="108"/>
      <c r="N37" s="108"/>
      <c r="O37" s="108"/>
      <c r="P37" s="109"/>
      <c r="Q37" s="12"/>
      <c r="R37" s="12"/>
      <c r="S37" s="12"/>
      <c r="T37" s="12"/>
      <c r="U37" s="12"/>
      <c r="V37" s="12"/>
      <c r="X37" s="12"/>
      <c r="Y37" s="12"/>
      <c r="Z37" s="12"/>
      <c r="AA37" s="12"/>
      <c r="AB37" s="12"/>
      <c r="AC37" s="12"/>
      <c r="AD37" s="12"/>
      <c r="AE37" s="12"/>
      <c r="AF37" s="12"/>
    </row>
    <row r="38" spans="1:33" ht="15" customHeight="1" x14ac:dyDescent="0.25">
      <c r="B38" s="12"/>
      <c r="C38" s="12"/>
      <c r="D38" s="12"/>
      <c r="E38" s="12"/>
      <c r="F38" s="12"/>
      <c r="G38" s="12"/>
      <c r="H38" s="107"/>
      <c r="I38" s="108"/>
      <c r="J38" s="108"/>
      <c r="K38" s="108"/>
      <c r="L38" s="108"/>
      <c r="M38" s="108"/>
      <c r="N38" s="108"/>
      <c r="O38" s="108"/>
      <c r="P38" s="109"/>
      <c r="Q38" s="12"/>
      <c r="R38" s="12"/>
      <c r="S38" s="12"/>
      <c r="T38" s="12"/>
      <c r="U38" s="12"/>
      <c r="V38" s="12"/>
      <c r="X38" s="12"/>
      <c r="Y38" s="12"/>
      <c r="Z38" s="12"/>
      <c r="AA38" s="141" t="s">
        <v>23</v>
      </c>
      <c r="AB38" s="142"/>
      <c r="AC38" s="143"/>
      <c r="AD38" s="12"/>
      <c r="AE38" s="12"/>
      <c r="AF38" s="12"/>
    </row>
    <row r="39" spans="1:33" ht="15" customHeight="1" x14ac:dyDescent="0.25">
      <c r="B39" s="12"/>
      <c r="C39" s="12"/>
      <c r="D39" s="12"/>
      <c r="E39" s="12"/>
      <c r="F39" s="12"/>
      <c r="G39" s="12"/>
      <c r="H39" s="107"/>
      <c r="I39" s="108"/>
      <c r="J39" s="108"/>
      <c r="K39" s="108"/>
      <c r="L39" s="108"/>
      <c r="M39" s="108"/>
      <c r="N39" s="108"/>
      <c r="O39" s="108"/>
      <c r="P39" s="109"/>
      <c r="Q39" s="12"/>
      <c r="R39" s="12"/>
      <c r="S39" s="12"/>
      <c r="T39" s="12"/>
      <c r="U39" s="12"/>
      <c r="V39" s="12"/>
      <c r="X39" s="12"/>
      <c r="Y39" s="12"/>
      <c r="Z39" s="12"/>
      <c r="AA39" s="144"/>
      <c r="AB39" s="145"/>
      <c r="AC39" s="146"/>
      <c r="AD39" s="12"/>
      <c r="AE39" s="12"/>
      <c r="AF39" s="12"/>
    </row>
    <row r="40" spans="1:33" ht="15" customHeight="1" thickBot="1" x14ac:dyDescent="0.3">
      <c r="B40" s="12"/>
      <c r="C40" s="12"/>
      <c r="D40" s="12"/>
      <c r="E40" s="12"/>
      <c r="F40" s="12"/>
      <c r="G40" s="12"/>
      <c r="H40" s="110"/>
      <c r="I40" s="111"/>
      <c r="J40" s="111"/>
      <c r="K40" s="111"/>
      <c r="L40" s="111"/>
      <c r="M40" s="111"/>
      <c r="N40" s="111"/>
      <c r="O40" s="111"/>
      <c r="P40" s="112"/>
      <c r="Q40" s="12"/>
      <c r="R40" s="12"/>
      <c r="S40" s="12"/>
      <c r="T40" s="12"/>
      <c r="U40" s="12"/>
      <c r="V40" s="12"/>
      <c r="X40" s="12"/>
      <c r="Y40" s="12"/>
      <c r="Z40" s="12"/>
      <c r="AA40" s="147"/>
      <c r="AB40" s="148"/>
      <c r="AC40" s="149"/>
      <c r="AD40" s="12"/>
      <c r="AE40" s="12"/>
      <c r="AF40" s="12"/>
    </row>
    <row r="41" spans="1:33" ht="15" customHeight="1" thickBot="1" x14ac:dyDescent="0.3">
      <c r="B41" s="12"/>
      <c r="C41" s="12"/>
      <c r="D41" s="12"/>
      <c r="E41" s="12"/>
      <c r="F41" s="12"/>
      <c r="G41" s="12"/>
      <c r="H41" s="52"/>
      <c r="I41" s="52"/>
      <c r="J41" s="52"/>
      <c r="K41" s="52"/>
      <c r="L41" s="52"/>
      <c r="M41" s="52"/>
      <c r="N41" s="52"/>
      <c r="O41" s="52"/>
      <c r="P41" s="52"/>
      <c r="Q41" s="12"/>
      <c r="R41" s="12"/>
      <c r="S41" s="12"/>
      <c r="T41" s="12"/>
      <c r="U41" s="12"/>
      <c r="V41" s="12"/>
      <c r="X41" s="12"/>
      <c r="Y41" s="12"/>
      <c r="Z41" s="12"/>
      <c r="AA41" s="53"/>
      <c r="AB41" s="53"/>
      <c r="AC41" s="53"/>
      <c r="AD41" s="12"/>
      <c r="AE41" s="12"/>
      <c r="AF41" s="12"/>
    </row>
    <row r="42" spans="1:33" ht="15" customHeight="1" x14ac:dyDescent="0.25">
      <c r="B42" s="12"/>
      <c r="C42" s="12"/>
      <c r="D42" s="12"/>
      <c r="E42" s="12"/>
      <c r="F42" s="12"/>
      <c r="G42" s="12"/>
      <c r="H42" s="126" t="s">
        <v>34</v>
      </c>
      <c r="I42" s="127"/>
      <c r="J42" s="127"/>
      <c r="K42" s="127"/>
      <c r="L42" s="127"/>
      <c r="M42" s="127"/>
      <c r="N42" s="127"/>
      <c r="O42" s="127"/>
      <c r="P42" s="128"/>
      <c r="Q42" s="12"/>
      <c r="R42" s="12"/>
      <c r="S42" s="12"/>
      <c r="T42" s="12"/>
      <c r="U42" s="12"/>
      <c r="V42" s="12"/>
      <c r="X42" s="12"/>
      <c r="Y42" s="12"/>
      <c r="Z42" s="12"/>
      <c r="AA42" s="53"/>
      <c r="AB42" s="53"/>
      <c r="AC42" s="53"/>
      <c r="AD42" s="12"/>
      <c r="AE42" s="12"/>
      <c r="AF42" s="12"/>
    </row>
    <row r="43" spans="1:33" ht="15" customHeight="1" thickBot="1" x14ac:dyDescent="0.3">
      <c r="B43" s="12"/>
      <c r="C43" s="12"/>
      <c r="D43" s="12"/>
      <c r="E43" s="12"/>
      <c r="F43" s="12"/>
      <c r="G43" s="12"/>
      <c r="H43" s="129"/>
      <c r="I43" s="130"/>
      <c r="J43" s="130"/>
      <c r="K43" s="130"/>
      <c r="L43" s="130"/>
      <c r="M43" s="130"/>
      <c r="N43" s="130"/>
      <c r="O43" s="130"/>
      <c r="P43" s="131"/>
      <c r="Q43" s="12"/>
      <c r="R43" s="12"/>
      <c r="S43" s="12"/>
      <c r="T43" s="12"/>
      <c r="U43" s="12"/>
      <c r="V43" s="12"/>
      <c r="X43" s="12"/>
      <c r="Y43" s="12"/>
      <c r="Z43" s="12"/>
      <c r="AA43" s="12"/>
      <c r="AB43" s="12"/>
      <c r="AC43" s="12"/>
      <c r="AD43" s="12"/>
      <c r="AE43" s="12"/>
      <c r="AF43" s="12"/>
    </row>
    <row r="44" spans="1:33" ht="15" customHeight="1" thickBot="1" x14ac:dyDescent="0.3"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X44" s="12"/>
      <c r="Y44" s="15"/>
      <c r="Z44" s="15"/>
      <c r="AA44" s="15"/>
      <c r="AB44" s="12"/>
      <c r="AC44" s="15"/>
      <c r="AD44" s="15"/>
      <c r="AE44" s="15"/>
      <c r="AF44" s="12"/>
    </row>
    <row r="45" spans="1:33" ht="15" customHeight="1" x14ac:dyDescent="0.25">
      <c r="B45" s="12"/>
      <c r="C45" s="120" t="s">
        <v>36</v>
      </c>
      <c r="D45" s="121"/>
      <c r="E45" s="121"/>
      <c r="F45" s="121"/>
      <c r="G45" s="121"/>
      <c r="H45" s="121"/>
      <c r="I45" s="121"/>
      <c r="J45" s="121"/>
      <c r="K45" s="122"/>
      <c r="L45" s="12"/>
      <c r="M45" s="120" t="s">
        <v>37</v>
      </c>
      <c r="N45" s="121"/>
      <c r="O45" s="121"/>
      <c r="P45" s="121"/>
      <c r="Q45" s="121"/>
      <c r="R45" s="121"/>
      <c r="S45" s="121"/>
      <c r="T45" s="121"/>
      <c r="U45" s="122"/>
      <c r="V45" s="12"/>
      <c r="X45" s="12"/>
      <c r="Y45" s="120" t="s">
        <v>36</v>
      </c>
      <c r="Z45" s="121"/>
      <c r="AA45" s="122"/>
      <c r="AB45" s="12"/>
      <c r="AC45" s="120" t="s">
        <v>37</v>
      </c>
      <c r="AD45" s="121"/>
      <c r="AE45" s="122"/>
      <c r="AF45" s="12"/>
    </row>
    <row r="46" spans="1:33" ht="15" customHeight="1" thickBot="1" x14ac:dyDescent="0.3">
      <c r="B46" s="12"/>
      <c r="C46" s="123"/>
      <c r="D46" s="124"/>
      <c r="E46" s="124"/>
      <c r="F46" s="124"/>
      <c r="G46" s="124"/>
      <c r="H46" s="124"/>
      <c r="I46" s="124"/>
      <c r="J46" s="124"/>
      <c r="K46" s="125"/>
      <c r="L46" s="12"/>
      <c r="M46" s="123"/>
      <c r="N46" s="124"/>
      <c r="O46" s="124"/>
      <c r="P46" s="124"/>
      <c r="Q46" s="124"/>
      <c r="R46" s="124"/>
      <c r="S46" s="124"/>
      <c r="T46" s="124"/>
      <c r="U46" s="125"/>
      <c r="V46" s="12"/>
      <c r="X46" s="12"/>
      <c r="Y46" s="123"/>
      <c r="Z46" s="124"/>
      <c r="AA46" s="125"/>
      <c r="AB46" s="12"/>
      <c r="AC46" s="123"/>
      <c r="AD46" s="124"/>
      <c r="AE46" s="125"/>
      <c r="AF46" s="12"/>
    </row>
    <row r="47" spans="1:33" ht="15.75" thickBot="1" x14ac:dyDescent="0.3"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3" x14ac:dyDescent="0.25">
      <c r="B48" s="12"/>
      <c r="C48" s="54" t="s">
        <v>20</v>
      </c>
      <c r="D48" s="119" t="s">
        <v>21</v>
      </c>
      <c r="E48" s="119"/>
      <c r="F48" s="101" t="s">
        <v>22</v>
      </c>
      <c r="G48" s="101"/>
      <c r="H48" s="101" t="s">
        <v>0</v>
      </c>
      <c r="I48" s="101"/>
      <c r="J48" s="101" t="s">
        <v>1</v>
      </c>
      <c r="K48" s="101"/>
      <c r="L48" s="12"/>
      <c r="M48" s="54" t="s">
        <v>20</v>
      </c>
      <c r="N48" s="119" t="s">
        <v>21</v>
      </c>
      <c r="O48" s="119"/>
      <c r="P48" s="101" t="s">
        <v>22</v>
      </c>
      <c r="Q48" s="101"/>
      <c r="R48" s="101" t="s">
        <v>0</v>
      </c>
      <c r="S48" s="101"/>
      <c r="T48" s="101" t="s">
        <v>1</v>
      </c>
      <c r="U48" s="101"/>
      <c r="V48" s="12"/>
      <c r="X48" s="12"/>
      <c r="Y48" s="47" t="s">
        <v>6</v>
      </c>
      <c r="Z48" s="84" t="s">
        <v>7</v>
      </c>
      <c r="AA48" s="85"/>
      <c r="AB48" s="12"/>
      <c r="AC48" s="47" t="s">
        <v>6</v>
      </c>
      <c r="AD48" s="84" t="s">
        <v>7</v>
      </c>
      <c r="AE48" s="85"/>
      <c r="AF48" s="12"/>
    </row>
    <row r="49" spans="1:33" x14ac:dyDescent="0.25">
      <c r="B49" s="12"/>
      <c r="C49" s="26">
        <v>1</v>
      </c>
      <c r="D49" s="102">
        <v>44811</v>
      </c>
      <c r="E49" s="102"/>
      <c r="F49" s="103">
        <v>0.875</v>
      </c>
      <c r="G49" s="103"/>
      <c r="H49" s="99" t="str">
        <f>IF(Z49=0,"-",Z49)</f>
        <v>Сърбия</v>
      </c>
      <c r="I49" s="99"/>
      <c r="J49" s="99" t="str">
        <f>IF(Z50=0,"-",Z50)</f>
        <v>Бразилия</v>
      </c>
      <c r="K49" s="99"/>
      <c r="L49" s="12"/>
      <c r="M49" s="26">
        <v>1</v>
      </c>
      <c r="N49" s="102">
        <v>44811</v>
      </c>
      <c r="O49" s="102"/>
      <c r="P49" s="103">
        <v>0.91666666666666663</v>
      </c>
      <c r="Q49" s="103"/>
      <c r="R49" s="99" t="str">
        <f>IF(AD49=0,"-",AD49)</f>
        <v>Тунис</v>
      </c>
      <c r="S49" s="99"/>
      <c r="T49" s="99" t="str">
        <f>IF(AD50=0,"-",AD50)</f>
        <v>Куба</v>
      </c>
      <c r="U49" s="99"/>
      <c r="V49" s="12"/>
      <c r="X49" s="12"/>
      <c r="Y49" s="28">
        <v>1</v>
      </c>
      <c r="Z49" s="99" t="str">
        <f>VLOOKUP(1,Класиране!C13:D16,2)</f>
        <v>Сърбия</v>
      </c>
      <c r="AA49" s="100"/>
      <c r="AB49" s="12"/>
      <c r="AC49" s="28">
        <v>1</v>
      </c>
      <c r="AD49" s="99" t="str">
        <f>VLOOKUP(2,Класиране!C13:D16,2)</f>
        <v>Тунис</v>
      </c>
      <c r="AE49" s="100"/>
      <c r="AF49" s="12"/>
    </row>
    <row r="50" spans="1:33" ht="15.75" thickBot="1" x14ac:dyDescent="0.3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X50" s="12"/>
      <c r="Y50" s="34">
        <v>2</v>
      </c>
      <c r="Z50" s="88" t="str">
        <f>VLOOKUP(2,Класиране!P13:Q16,2)</f>
        <v>Бразилия</v>
      </c>
      <c r="AA50" s="89"/>
      <c r="AB50" s="12"/>
      <c r="AC50" s="34">
        <v>2</v>
      </c>
      <c r="AD50" s="88" t="str">
        <f>VLOOKUP(1,Класиране!P13:Q16,2)</f>
        <v>Куба</v>
      </c>
      <c r="AE50" s="89"/>
      <c r="AF50" s="12"/>
    </row>
    <row r="51" spans="1:33" ht="15.75" thickBot="1" x14ac:dyDescent="0.3"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X51" s="12"/>
      <c r="Y51" s="12"/>
      <c r="Z51" s="12"/>
      <c r="AA51" s="12"/>
      <c r="AB51" s="12"/>
      <c r="AC51" s="12"/>
      <c r="AD51" s="12"/>
      <c r="AE51" s="12"/>
      <c r="AF51" s="12"/>
    </row>
    <row r="52" spans="1:33" ht="15" customHeight="1" thickBot="1" x14ac:dyDescent="0.3">
      <c r="B52" s="12"/>
      <c r="C52" s="120" t="s">
        <v>38</v>
      </c>
      <c r="D52" s="121"/>
      <c r="E52" s="121"/>
      <c r="F52" s="121"/>
      <c r="G52" s="121"/>
      <c r="H52" s="121"/>
      <c r="I52" s="121"/>
      <c r="J52" s="121"/>
      <c r="K52" s="122"/>
      <c r="L52" s="12"/>
      <c r="M52" s="120" t="s">
        <v>39</v>
      </c>
      <c r="N52" s="121"/>
      <c r="O52" s="121"/>
      <c r="P52" s="121"/>
      <c r="Q52" s="121"/>
      <c r="R52" s="121"/>
      <c r="S52" s="121"/>
      <c r="T52" s="121"/>
      <c r="U52" s="122"/>
      <c r="V52" s="12"/>
      <c r="X52" s="12"/>
      <c r="Y52" s="12"/>
      <c r="Z52" s="12"/>
      <c r="AA52" s="12"/>
      <c r="AB52" s="12"/>
      <c r="AC52" s="12"/>
      <c r="AD52" s="12"/>
      <c r="AE52" s="12"/>
      <c r="AF52" s="12"/>
    </row>
    <row r="53" spans="1:33" ht="15" customHeight="1" thickBot="1" x14ac:dyDescent="0.3">
      <c r="B53" s="12"/>
      <c r="C53" s="123"/>
      <c r="D53" s="124"/>
      <c r="E53" s="124"/>
      <c r="F53" s="124"/>
      <c r="G53" s="124"/>
      <c r="H53" s="124"/>
      <c r="I53" s="124"/>
      <c r="J53" s="124"/>
      <c r="K53" s="125"/>
      <c r="L53" s="12"/>
      <c r="M53" s="123"/>
      <c r="N53" s="124"/>
      <c r="O53" s="124"/>
      <c r="P53" s="124"/>
      <c r="Q53" s="124"/>
      <c r="R53" s="124"/>
      <c r="S53" s="124"/>
      <c r="T53" s="124"/>
      <c r="U53" s="125"/>
      <c r="V53" s="12"/>
      <c r="X53" s="12"/>
      <c r="Y53" s="120" t="s">
        <v>38</v>
      </c>
      <c r="Z53" s="121"/>
      <c r="AA53" s="122"/>
      <c r="AB53" s="12"/>
      <c r="AC53" s="120" t="s">
        <v>39</v>
      </c>
      <c r="AD53" s="121"/>
      <c r="AE53" s="122"/>
      <c r="AF53" s="12"/>
    </row>
    <row r="54" spans="1:33" ht="15.75" thickBot="1" x14ac:dyDescent="0.3"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X54" s="12"/>
      <c r="Y54" s="123"/>
      <c r="Z54" s="124"/>
      <c r="AA54" s="125"/>
      <c r="AB54" s="12"/>
      <c r="AC54" s="123"/>
      <c r="AD54" s="124"/>
      <c r="AE54" s="125"/>
      <c r="AF54" s="12"/>
    </row>
    <row r="55" spans="1:33" ht="15.75" thickBot="1" x14ac:dyDescent="0.3">
      <c r="B55" s="12"/>
      <c r="C55" s="54" t="s">
        <v>20</v>
      </c>
      <c r="D55" s="119" t="s">
        <v>21</v>
      </c>
      <c r="E55" s="119"/>
      <c r="F55" s="101" t="s">
        <v>22</v>
      </c>
      <c r="G55" s="101"/>
      <c r="H55" s="101" t="s">
        <v>0</v>
      </c>
      <c r="I55" s="101"/>
      <c r="J55" s="101" t="s">
        <v>1</v>
      </c>
      <c r="K55" s="101"/>
      <c r="L55" s="12"/>
      <c r="M55" s="54" t="s">
        <v>20</v>
      </c>
      <c r="N55" s="119" t="s">
        <v>21</v>
      </c>
      <c r="O55" s="119"/>
      <c r="P55" s="101" t="s">
        <v>22</v>
      </c>
      <c r="Q55" s="101"/>
      <c r="R55" s="101" t="s">
        <v>0</v>
      </c>
      <c r="S55" s="101"/>
      <c r="T55" s="101" t="s">
        <v>1</v>
      </c>
      <c r="U55" s="101"/>
      <c r="V55" s="12"/>
      <c r="X55" s="12"/>
      <c r="Y55" s="12"/>
      <c r="Z55" s="12"/>
      <c r="AA55" s="12"/>
      <c r="AB55" s="12"/>
      <c r="AC55" s="12"/>
      <c r="AD55" s="12"/>
      <c r="AE55" s="12"/>
      <c r="AF55" s="12"/>
    </row>
    <row r="56" spans="1:33" x14ac:dyDescent="0.25">
      <c r="B56" s="12"/>
      <c r="C56" s="26">
        <v>1</v>
      </c>
      <c r="D56" s="102">
        <v>44812</v>
      </c>
      <c r="E56" s="102"/>
      <c r="F56" s="103">
        <v>0.91666666666666663</v>
      </c>
      <c r="G56" s="103"/>
      <c r="H56" s="99" t="str">
        <f>IF(Z57=0,"-",Z57)</f>
        <v>Полша</v>
      </c>
      <c r="I56" s="99"/>
      <c r="J56" s="99" t="str">
        <f>IF(Z58=0,"-",Z58)</f>
        <v>Словения</v>
      </c>
      <c r="K56" s="99"/>
      <c r="L56" s="12"/>
      <c r="M56" s="26">
        <v>1</v>
      </c>
      <c r="N56" s="102">
        <v>44812</v>
      </c>
      <c r="O56" s="102"/>
      <c r="P56" s="103">
        <v>0.83333333333333337</v>
      </c>
      <c r="Q56" s="103"/>
      <c r="R56" s="99" t="str">
        <f>IF(AD57=0,"-",AD57)</f>
        <v>Мексико</v>
      </c>
      <c r="S56" s="99"/>
      <c r="T56" s="99" t="str">
        <f>IF(AD58=0,"-",AD58)</f>
        <v>Франция</v>
      </c>
      <c r="U56" s="99"/>
      <c r="V56" s="12"/>
      <c r="X56" s="12"/>
      <c r="Y56" s="47" t="s">
        <v>6</v>
      </c>
      <c r="Z56" s="84" t="s">
        <v>7</v>
      </c>
      <c r="AA56" s="85"/>
      <c r="AB56" s="12"/>
      <c r="AC56" s="47" t="s">
        <v>6</v>
      </c>
      <c r="AD56" s="84" t="s">
        <v>7</v>
      </c>
      <c r="AE56" s="85"/>
      <c r="AF56" s="12"/>
    </row>
    <row r="57" spans="1:33" ht="15.75" thickBot="1" x14ac:dyDescent="0.3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X57" s="12"/>
      <c r="Y57" s="28">
        <v>1</v>
      </c>
      <c r="Z57" s="99" t="str">
        <f>VLOOKUP(1,Класиране!C23:D26,2)</f>
        <v>Полша</v>
      </c>
      <c r="AA57" s="100"/>
      <c r="AB57" s="12"/>
      <c r="AC57" s="28">
        <v>1</v>
      </c>
      <c r="AD57" s="99" t="str">
        <f>VLOOKUP(2,Класиране!C23:D26,2)</f>
        <v>Мексико</v>
      </c>
      <c r="AE57" s="100"/>
      <c r="AF57" s="12"/>
    </row>
    <row r="58" spans="1:33" ht="15.75" thickBot="1" x14ac:dyDescent="0.3">
      <c r="B58" s="12"/>
      <c r="C58" s="12"/>
      <c r="D58" s="12"/>
      <c r="E58" s="12"/>
      <c r="F58" s="12"/>
      <c r="G58" s="12"/>
      <c r="H58" s="113" t="s">
        <v>47</v>
      </c>
      <c r="I58" s="114"/>
      <c r="J58" s="114"/>
      <c r="K58" s="114"/>
      <c r="L58" s="114"/>
      <c r="M58" s="114"/>
      <c r="N58" s="114"/>
      <c r="O58" s="114"/>
      <c r="P58" s="115"/>
      <c r="Q58" s="12"/>
      <c r="R58" s="12"/>
      <c r="S58" s="12"/>
      <c r="T58" s="12"/>
      <c r="U58" s="12"/>
      <c r="V58" s="12"/>
      <c r="X58" s="12"/>
      <c r="Y58" s="34">
        <v>2</v>
      </c>
      <c r="Z58" s="88" t="str">
        <f>VLOOKUP(2,Класиране!P23:Q26,2)</f>
        <v>Словения</v>
      </c>
      <c r="AA58" s="89"/>
      <c r="AB58" s="12"/>
      <c r="AC58" s="34">
        <v>2</v>
      </c>
      <c r="AD58" s="88" t="str">
        <f>VLOOKUP(1,Класиране!P23:Q26,2)</f>
        <v>Франция</v>
      </c>
      <c r="AE58" s="89"/>
      <c r="AF58" s="12"/>
    </row>
    <row r="59" spans="1:33" ht="15.75" thickBot="1" x14ac:dyDescent="0.3">
      <c r="B59" s="12"/>
      <c r="C59" s="12"/>
      <c r="D59" s="12"/>
      <c r="E59" s="12"/>
      <c r="F59" s="12"/>
      <c r="G59" s="12"/>
      <c r="H59" s="116"/>
      <c r="I59" s="117"/>
      <c r="J59" s="117"/>
      <c r="K59" s="117"/>
      <c r="L59" s="117"/>
      <c r="M59" s="117"/>
      <c r="N59" s="117"/>
      <c r="O59" s="117"/>
      <c r="P59" s="118"/>
      <c r="Q59" s="12"/>
      <c r="R59" s="12"/>
      <c r="S59" s="12"/>
      <c r="T59" s="12"/>
      <c r="U59" s="12"/>
      <c r="V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3" x14ac:dyDescent="0.25"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3" x14ac:dyDescent="0.25">
      <c r="B61" s="12"/>
      <c r="C61" s="54" t="s">
        <v>20</v>
      </c>
      <c r="D61" s="119" t="s">
        <v>21</v>
      </c>
      <c r="E61" s="119"/>
      <c r="F61" s="101" t="s">
        <v>22</v>
      </c>
      <c r="G61" s="101"/>
      <c r="H61" s="101" t="s">
        <v>0</v>
      </c>
      <c r="I61" s="101"/>
      <c r="J61" s="101" t="s">
        <v>1</v>
      </c>
      <c r="K61" s="101"/>
      <c r="L61" s="12"/>
      <c r="M61" s="54" t="s">
        <v>20</v>
      </c>
      <c r="N61" s="119" t="s">
        <v>21</v>
      </c>
      <c r="O61" s="119"/>
      <c r="P61" s="101" t="s">
        <v>22</v>
      </c>
      <c r="Q61" s="101"/>
      <c r="R61" s="101" t="s">
        <v>0</v>
      </c>
      <c r="S61" s="101"/>
      <c r="T61" s="101" t="s">
        <v>1</v>
      </c>
      <c r="U61" s="101"/>
      <c r="V61" s="12"/>
      <c r="X61" s="12"/>
      <c r="Y61" s="12"/>
      <c r="Z61" s="12"/>
      <c r="AA61" s="12"/>
      <c r="AB61" s="12"/>
      <c r="AC61" s="12"/>
      <c r="AD61" s="12"/>
      <c r="AE61" s="12"/>
      <c r="AF61" s="12"/>
    </row>
    <row r="62" spans="1:33" x14ac:dyDescent="0.25">
      <c r="B62" s="12"/>
      <c r="C62" s="26">
        <v>1</v>
      </c>
      <c r="D62" s="102">
        <v>44813</v>
      </c>
      <c r="E62" s="102"/>
      <c r="F62" s="103">
        <v>0.91666666666666663</v>
      </c>
      <c r="G62" s="103"/>
      <c r="H62" s="99" t="str">
        <f>IF(Резултати!H39=3,Резултати!F39,IF(Резултати!H40=3,Резултати!F40,"-"))</f>
        <v>-</v>
      </c>
      <c r="I62" s="99"/>
      <c r="J62" s="99" t="str">
        <f>IF(Резултати!AH39=3,Резултати!AF39,IF(Резултати!AH40=3,Резултати!AF40,"-"))</f>
        <v>-</v>
      </c>
      <c r="K62" s="99"/>
      <c r="L62" s="12"/>
      <c r="M62" s="26">
        <v>1</v>
      </c>
      <c r="N62" s="102">
        <v>44813</v>
      </c>
      <c r="O62" s="102"/>
      <c r="P62" s="103">
        <v>0.875</v>
      </c>
      <c r="Q62" s="103"/>
      <c r="R62" s="99" t="str">
        <f>IF(Резултати!U39=3,Резултати!S39,IF(Резултати!U40=3,Резултати!S40,"-"))</f>
        <v>-</v>
      </c>
      <c r="S62" s="99"/>
      <c r="T62" s="99" t="str">
        <f>IF(Резултати!AU39=3,Резултати!AS39,IF(Резултати!AU40=3,Резултати!AS40,"-"))</f>
        <v>-</v>
      </c>
      <c r="U62" s="99"/>
      <c r="V62" s="12"/>
      <c r="X62" s="12"/>
      <c r="Y62" s="12"/>
      <c r="Z62" s="12"/>
      <c r="AA62" s="12"/>
      <c r="AB62" s="12"/>
      <c r="AC62" s="12"/>
      <c r="AD62" s="12"/>
      <c r="AE62" s="12"/>
      <c r="AF62" s="12"/>
    </row>
    <row r="63" spans="1:33" x14ac:dyDescent="0.25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X63" s="12"/>
      <c r="Y63" s="12"/>
      <c r="Z63" s="12"/>
      <c r="AA63" s="12"/>
      <c r="AB63" s="12"/>
      <c r="AC63" s="12"/>
      <c r="AD63" s="12"/>
      <c r="AE63" s="12"/>
      <c r="AF63" s="12"/>
    </row>
    <row r="64" spans="1:33" s="4" customFormat="1" ht="6.75" customHeight="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</row>
    <row r="65" spans="2:32" ht="15" customHeight="1" thickBot="1" x14ac:dyDescent="0.3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X65" s="12"/>
      <c r="Y65" s="15"/>
      <c r="Z65" s="15"/>
      <c r="AA65" s="15"/>
      <c r="AB65" s="12"/>
      <c r="AC65" s="15"/>
      <c r="AD65" s="15"/>
      <c r="AE65" s="15"/>
      <c r="AF65" s="12"/>
    </row>
    <row r="66" spans="2:32" ht="15" customHeight="1" x14ac:dyDescent="0.25">
      <c r="B66" s="12"/>
      <c r="C66" s="12"/>
      <c r="D66" s="12"/>
      <c r="E66" s="12"/>
      <c r="F66" s="12"/>
      <c r="G66" s="12"/>
      <c r="H66" s="104" t="s">
        <v>48</v>
      </c>
      <c r="I66" s="105"/>
      <c r="J66" s="105"/>
      <c r="K66" s="105"/>
      <c r="L66" s="105"/>
      <c r="M66" s="105"/>
      <c r="N66" s="105"/>
      <c r="O66" s="105"/>
      <c r="P66" s="106"/>
      <c r="Q66" s="12"/>
      <c r="R66" s="12"/>
      <c r="S66" s="12"/>
      <c r="T66" s="12"/>
      <c r="U66" s="12"/>
      <c r="V66" s="12"/>
      <c r="X66" s="12"/>
      <c r="Y66" s="15"/>
      <c r="Z66" s="15"/>
      <c r="AA66" s="15"/>
      <c r="AB66" s="12"/>
      <c r="AC66" s="15"/>
      <c r="AD66" s="15"/>
      <c r="AE66" s="15"/>
      <c r="AF66" s="12"/>
    </row>
    <row r="67" spans="2:32" x14ac:dyDescent="0.25">
      <c r="B67" s="12"/>
      <c r="C67" s="12"/>
      <c r="D67" s="12"/>
      <c r="E67" s="12"/>
      <c r="F67" s="12"/>
      <c r="G67" s="12"/>
      <c r="H67" s="107"/>
      <c r="I67" s="108"/>
      <c r="J67" s="108"/>
      <c r="K67" s="108"/>
      <c r="L67" s="108"/>
      <c r="M67" s="108"/>
      <c r="N67" s="108"/>
      <c r="O67" s="108"/>
      <c r="P67" s="109"/>
      <c r="Q67" s="12"/>
      <c r="R67" s="12"/>
      <c r="S67" s="12"/>
      <c r="T67" s="12"/>
      <c r="U67" s="12"/>
      <c r="V67" s="12"/>
      <c r="X67" s="12"/>
      <c r="Y67" s="12"/>
      <c r="Z67" s="12"/>
      <c r="AA67" s="12"/>
      <c r="AB67" s="12"/>
      <c r="AC67" s="12"/>
      <c r="AD67" s="12"/>
      <c r="AE67" s="12"/>
      <c r="AF67" s="12"/>
    </row>
    <row r="68" spans="2:32" ht="15.75" thickBot="1" x14ac:dyDescent="0.3">
      <c r="B68" s="12"/>
      <c r="C68" s="12"/>
      <c r="D68" s="12"/>
      <c r="E68" s="12"/>
      <c r="F68" s="12"/>
      <c r="G68" s="12"/>
      <c r="H68" s="107"/>
      <c r="I68" s="108"/>
      <c r="J68" s="108"/>
      <c r="K68" s="108"/>
      <c r="L68" s="108"/>
      <c r="M68" s="108"/>
      <c r="N68" s="108"/>
      <c r="O68" s="108"/>
      <c r="P68" s="109"/>
      <c r="Q68" s="12"/>
      <c r="R68" s="12"/>
      <c r="S68" s="12"/>
      <c r="T68" s="12"/>
      <c r="U68" s="12"/>
      <c r="V68" s="12"/>
      <c r="X68" s="12"/>
      <c r="Y68" s="55"/>
      <c r="Z68" s="12"/>
      <c r="AA68" s="12"/>
      <c r="AB68" s="12"/>
      <c r="AC68" s="55"/>
      <c r="AD68" s="12"/>
      <c r="AE68" s="12"/>
      <c r="AF68" s="12"/>
    </row>
    <row r="69" spans="2:32" ht="15" customHeight="1" x14ac:dyDescent="0.25">
      <c r="B69" s="12"/>
      <c r="C69" s="12"/>
      <c r="D69" s="12"/>
      <c r="E69" s="12"/>
      <c r="F69" s="12"/>
      <c r="G69" s="12"/>
      <c r="H69" s="107"/>
      <c r="I69" s="108"/>
      <c r="J69" s="108"/>
      <c r="K69" s="108"/>
      <c r="L69" s="108"/>
      <c r="M69" s="108"/>
      <c r="N69" s="108"/>
      <c r="O69" s="108"/>
      <c r="P69" s="109"/>
      <c r="Q69" s="12"/>
      <c r="R69" s="12"/>
      <c r="S69" s="12"/>
      <c r="T69" s="56"/>
      <c r="U69" s="56"/>
      <c r="V69" s="56"/>
      <c r="X69" s="12"/>
      <c r="Y69" s="12"/>
      <c r="Z69" s="12"/>
      <c r="AA69" s="90" t="s">
        <v>23</v>
      </c>
      <c r="AB69" s="91"/>
      <c r="AC69" s="92"/>
      <c r="AD69" s="12"/>
      <c r="AE69" s="12"/>
      <c r="AF69" s="12"/>
    </row>
    <row r="70" spans="2:32" ht="15" customHeight="1" x14ac:dyDescent="0.25">
      <c r="B70" s="12"/>
      <c r="C70" s="12"/>
      <c r="D70" s="12"/>
      <c r="E70" s="12"/>
      <c r="F70" s="12"/>
      <c r="G70" s="12"/>
      <c r="H70" s="107"/>
      <c r="I70" s="108"/>
      <c r="J70" s="108"/>
      <c r="K70" s="108"/>
      <c r="L70" s="108"/>
      <c r="M70" s="108"/>
      <c r="N70" s="108"/>
      <c r="O70" s="108"/>
      <c r="P70" s="109"/>
      <c r="Q70" s="12"/>
      <c r="R70" s="12"/>
      <c r="S70" s="12"/>
      <c r="T70" s="56"/>
      <c r="U70" s="56"/>
      <c r="V70" s="56"/>
      <c r="X70" s="12"/>
      <c r="Y70" s="12"/>
      <c r="Z70" s="12"/>
      <c r="AA70" s="93"/>
      <c r="AB70" s="94"/>
      <c r="AC70" s="95"/>
      <c r="AD70" s="12"/>
      <c r="AE70" s="12"/>
      <c r="AF70" s="12"/>
    </row>
    <row r="71" spans="2:32" ht="15" customHeight="1" thickBot="1" x14ac:dyDescent="0.3">
      <c r="B71" s="12"/>
      <c r="C71" s="12"/>
      <c r="D71" s="12"/>
      <c r="E71" s="12"/>
      <c r="F71" s="12"/>
      <c r="G71" s="12"/>
      <c r="H71" s="110"/>
      <c r="I71" s="111"/>
      <c r="J71" s="111"/>
      <c r="K71" s="111"/>
      <c r="L71" s="111"/>
      <c r="M71" s="111"/>
      <c r="N71" s="111"/>
      <c r="O71" s="111"/>
      <c r="P71" s="112"/>
      <c r="Q71" s="12"/>
      <c r="R71" s="12"/>
      <c r="S71" s="12"/>
      <c r="T71" s="56"/>
      <c r="U71" s="56"/>
      <c r="V71" s="56"/>
      <c r="X71" s="12"/>
      <c r="Y71" s="12"/>
      <c r="Z71" s="12"/>
      <c r="AA71" s="96"/>
      <c r="AB71" s="97"/>
      <c r="AC71" s="98"/>
      <c r="AD71" s="12"/>
      <c r="AE71" s="12"/>
      <c r="AF71" s="12"/>
    </row>
    <row r="72" spans="2:32" ht="15.75" thickBot="1" x14ac:dyDescent="0.3"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2:32" ht="15" customHeight="1" x14ac:dyDescent="0.25">
      <c r="B73" s="12"/>
      <c r="C73" s="12"/>
      <c r="D73" s="12"/>
      <c r="E73" s="12"/>
      <c r="F73" s="12"/>
      <c r="G73" s="12"/>
      <c r="H73" s="77" t="s">
        <v>49</v>
      </c>
      <c r="I73" s="78"/>
      <c r="J73" s="78"/>
      <c r="K73" s="78"/>
      <c r="L73" s="78"/>
      <c r="M73" s="78"/>
      <c r="N73" s="78"/>
      <c r="O73" s="78"/>
      <c r="P73" s="79"/>
      <c r="Q73" s="12"/>
      <c r="R73" s="12"/>
      <c r="S73" s="12"/>
      <c r="T73" s="55"/>
      <c r="U73" s="12"/>
      <c r="V73" s="12"/>
      <c r="X73" s="12"/>
      <c r="Y73" s="15"/>
      <c r="Z73" s="15"/>
      <c r="AA73" s="47" t="s">
        <v>6</v>
      </c>
      <c r="AB73" s="84" t="s">
        <v>7</v>
      </c>
      <c r="AC73" s="85"/>
      <c r="AD73" s="15"/>
      <c r="AE73" s="15"/>
      <c r="AF73" s="12"/>
    </row>
    <row r="74" spans="2:32" ht="15" customHeight="1" thickBot="1" x14ac:dyDescent="0.3">
      <c r="B74" s="12"/>
      <c r="C74" s="12"/>
      <c r="D74" s="12"/>
      <c r="E74" s="12"/>
      <c r="F74" s="12"/>
      <c r="G74" s="12"/>
      <c r="H74" s="80"/>
      <c r="I74" s="81"/>
      <c r="J74" s="81"/>
      <c r="K74" s="81"/>
      <c r="L74" s="81"/>
      <c r="M74" s="81"/>
      <c r="N74" s="81"/>
      <c r="O74" s="81"/>
      <c r="P74" s="82"/>
      <c r="Q74" s="12"/>
      <c r="R74" s="12"/>
      <c r="S74" s="12"/>
      <c r="T74" s="12"/>
      <c r="U74" s="12"/>
      <c r="V74" s="12"/>
      <c r="X74" s="12"/>
      <c r="Y74" s="15"/>
      <c r="Z74" s="15"/>
      <c r="AA74" s="28">
        <v>1</v>
      </c>
      <c r="AB74" s="99" t="str">
        <f>Резултати!F49</f>
        <v>-</v>
      </c>
      <c r="AC74" s="100"/>
      <c r="AD74" s="15"/>
      <c r="AE74" s="15"/>
      <c r="AF74" s="12"/>
    </row>
    <row r="75" spans="2:32" ht="15.75" thickBot="1" x14ac:dyDescent="0.3"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X75" s="12"/>
      <c r="Y75" s="12"/>
      <c r="Z75" s="12"/>
      <c r="AA75" s="28">
        <v>2</v>
      </c>
      <c r="AB75" s="99" t="str">
        <f>Резултати!F50</f>
        <v>-</v>
      </c>
      <c r="AC75" s="100"/>
      <c r="AD75" s="12"/>
      <c r="AE75" s="12"/>
      <c r="AF75" s="12"/>
    </row>
    <row r="76" spans="2:32" x14ac:dyDescent="0.25">
      <c r="B76" s="12"/>
      <c r="C76" s="12"/>
      <c r="D76" s="12"/>
      <c r="E76" s="12"/>
      <c r="F76" s="12"/>
      <c r="G76" s="12"/>
      <c r="H76" s="19" t="s">
        <v>20</v>
      </c>
      <c r="I76" s="83" t="s">
        <v>21</v>
      </c>
      <c r="J76" s="83"/>
      <c r="K76" s="84" t="s">
        <v>22</v>
      </c>
      <c r="L76" s="84"/>
      <c r="M76" s="84" t="s">
        <v>0</v>
      </c>
      <c r="N76" s="84"/>
      <c r="O76" s="84" t="s">
        <v>1</v>
      </c>
      <c r="P76" s="85"/>
      <c r="Q76" s="12"/>
      <c r="R76" s="12"/>
      <c r="S76" s="12"/>
      <c r="T76" s="12"/>
      <c r="U76" s="12"/>
      <c r="V76" s="12"/>
      <c r="X76" s="12"/>
      <c r="Y76" s="55"/>
      <c r="Z76" s="12"/>
      <c r="AA76" s="28">
        <v>3</v>
      </c>
      <c r="AB76" s="99" t="str">
        <f>Резултати!S49</f>
        <v>-</v>
      </c>
      <c r="AC76" s="100"/>
      <c r="AD76" s="12"/>
      <c r="AE76" s="12"/>
      <c r="AF76" s="12"/>
    </row>
    <row r="77" spans="2:32" ht="15.75" thickBot="1" x14ac:dyDescent="0.3">
      <c r="B77" s="12"/>
      <c r="C77" s="12"/>
      <c r="D77" s="12"/>
      <c r="E77" s="12"/>
      <c r="F77" s="12"/>
      <c r="G77" s="12"/>
      <c r="H77" s="34">
        <v>1</v>
      </c>
      <c r="I77" s="86">
        <v>44814</v>
      </c>
      <c r="J77" s="86"/>
      <c r="K77" s="87">
        <v>0.83333333333333337</v>
      </c>
      <c r="L77" s="87"/>
      <c r="M77" s="88" t="str">
        <f>IF(Резултати!H49&lt;3,Резултати!F49,IF(Резултати!H50&lt;3,Резултати!F50,"-"))</f>
        <v>-</v>
      </c>
      <c r="N77" s="88"/>
      <c r="O77" s="88" t="str">
        <f>IF(Резултати!U49&lt;3,Резултати!S49,IF(Резултати!U50&lt;3,Резултати!S50,"-"))</f>
        <v>-</v>
      </c>
      <c r="P77" s="89"/>
      <c r="Q77" s="12"/>
      <c r="R77" s="12"/>
      <c r="S77" s="12"/>
      <c r="T77" s="12"/>
      <c r="U77" s="12"/>
      <c r="V77" s="12"/>
      <c r="X77" s="12"/>
      <c r="Y77" s="12"/>
      <c r="Z77" s="12"/>
      <c r="AA77" s="34">
        <v>4</v>
      </c>
      <c r="AB77" s="88" t="str">
        <f>Резултати!S50</f>
        <v>-</v>
      </c>
      <c r="AC77" s="89"/>
      <c r="AD77" s="12"/>
      <c r="AE77" s="12"/>
      <c r="AF77" s="12"/>
    </row>
    <row r="78" spans="2:32" ht="15.75" thickBot="1" x14ac:dyDescent="0.3"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X78" s="12"/>
      <c r="Y78" s="12"/>
      <c r="Z78" s="12"/>
      <c r="AA78" s="12"/>
      <c r="AB78" s="12"/>
      <c r="AC78" s="12"/>
      <c r="AD78" s="12"/>
      <c r="AE78" s="12"/>
      <c r="AF78" s="12"/>
    </row>
    <row r="79" spans="2:32" x14ac:dyDescent="0.25">
      <c r="B79" s="12"/>
      <c r="C79" s="12"/>
      <c r="D79" s="12"/>
      <c r="E79" s="12"/>
      <c r="F79" s="12"/>
      <c r="G79" s="12"/>
      <c r="H79" s="77" t="s">
        <v>50</v>
      </c>
      <c r="I79" s="78"/>
      <c r="J79" s="78"/>
      <c r="K79" s="78"/>
      <c r="L79" s="78"/>
      <c r="M79" s="78"/>
      <c r="N79" s="78"/>
      <c r="O79" s="78"/>
      <c r="P79" s="79"/>
      <c r="Q79" s="12"/>
      <c r="R79" s="12"/>
      <c r="S79" s="12"/>
      <c r="T79" s="12"/>
      <c r="U79" s="12"/>
      <c r="V79" s="12"/>
      <c r="X79" s="12"/>
      <c r="Y79" s="12"/>
      <c r="Z79" s="12"/>
      <c r="AA79" s="12"/>
      <c r="AB79" s="12"/>
      <c r="AC79" s="12"/>
      <c r="AD79" s="12"/>
      <c r="AE79" s="12"/>
      <c r="AF79" s="12"/>
    </row>
    <row r="80" spans="2:32" ht="15.75" thickBot="1" x14ac:dyDescent="0.3">
      <c r="B80" s="12"/>
      <c r="C80" s="12"/>
      <c r="D80" s="12"/>
      <c r="E80" s="12"/>
      <c r="F80" s="12"/>
      <c r="G80" s="12"/>
      <c r="H80" s="80"/>
      <c r="I80" s="81"/>
      <c r="J80" s="81"/>
      <c r="K80" s="81"/>
      <c r="L80" s="81"/>
      <c r="M80" s="81"/>
      <c r="N80" s="81"/>
      <c r="O80" s="81"/>
      <c r="P80" s="82"/>
      <c r="Q80" s="12"/>
      <c r="R80" s="12"/>
      <c r="S80" s="12"/>
      <c r="T80" s="12"/>
      <c r="U80" s="12"/>
      <c r="V80" s="12"/>
      <c r="X80" s="12"/>
      <c r="Y80" s="12"/>
      <c r="Z80" s="12"/>
      <c r="AA80" s="12"/>
      <c r="AB80" s="12"/>
      <c r="AC80" s="12"/>
      <c r="AD80" s="12"/>
      <c r="AE80" s="12"/>
      <c r="AF80" s="12"/>
    </row>
    <row r="81" spans="1:33" ht="15.75" thickBot="1" x14ac:dyDescent="0.3"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X81" s="12"/>
      <c r="Y81" s="12"/>
      <c r="Z81" s="12"/>
      <c r="AA81" s="12"/>
      <c r="AB81" s="12"/>
      <c r="AC81" s="12"/>
      <c r="AD81" s="12"/>
      <c r="AE81" s="12"/>
      <c r="AF81" s="12"/>
    </row>
    <row r="82" spans="1:33" x14ac:dyDescent="0.25">
      <c r="B82" s="12"/>
      <c r="C82" s="12"/>
      <c r="D82" s="12"/>
      <c r="E82" s="12"/>
      <c r="F82" s="12"/>
      <c r="G82" s="12"/>
      <c r="H82" s="19" t="s">
        <v>20</v>
      </c>
      <c r="I82" s="83" t="s">
        <v>21</v>
      </c>
      <c r="J82" s="83"/>
      <c r="K82" s="84" t="s">
        <v>22</v>
      </c>
      <c r="L82" s="84"/>
      <c r="M82" s="84" t="s">
        <v>0</v>
      </c>
      <c r="N82" s="84"/>
      <c r="O82" s="84" t="s">
        <v>1</v>
      </c>
      <c r="P82" s="85"/>
      <c r="Q82" s="12"/>
      <c r="R82" s="12"/>
      <c r="S82" s="12"/>
      <c r="T82" s="12"/>
      <c r="U82" s="12"/>
      <c r="V82" s="12"/>
      <c r="X82" s="12"/>
      <c r="Y82" s="12"/>
      <c r="Z82" s="12"/>
      <c r="AA82" s="12"/>
      <c r="AB82" s="12"/>
      <c r="AC82" s="12"/>
      <c r="AD82" s="12"/>
      <c r="AE82" s="12"/>
      <c r="AF82" s="12"/>
    </row>
    <row r="83" spans="1:33" ht="15.75" thickBot="1" x14ac:dyDescent="0.3">
      <c r="B83" s="12"/>
      <c r="C83" s="12"/>
      <c r="D83" s="12"/>
      <c r="E83" s="12"/>
      <c r="F83" s="12"/>
      <c r="G83" s="12"/>
      <c r="H83" s="34">
        <v>1</v>
      </c>
      <c r="I83" s="86">
        <v>44814</v>
      </c>
      <c r="J83" s="86"/>
      <c r="K83" s="87">
        <v>0.875</v>
      </c>
      <c r="L83" s="87"/>
      <c r="M83" s="88" t="str">
        <f>IF(Резултати!H49=3,Резултати!F49,IF(Резултати!H50=3,Резултати!F50,"-"))</f>
        <v>-</v>
      </c>
      <c r="N83" s="88"/>
      <c r="O83" s="88" t="str">
        <f>IF(Резултати!U49=3,Резултати!S49,IF(Резултати!U50=3,Резултати!S50,"-"))</f>
        <v>-</v>
      </c>
      <c r="P83" s="89"/>
      <c r="Q83" s="12"/>
      <c r="R83" s="12"/>
      <c r="S83" s="12"/>
      <c r="T83" s="12"/>
      <c r="U83" s="12"/>
      <c r="V83" s="12"/>
      <c r="X83" s="12"/>
      <c r="Y83" s="12"/>
      <c r="Z83" s="12"/>
      <c r="AA83" s="12"/>
      <c r="AB83" s="12"/>
      <c r="AC83" s="12"/>
      <c r="AD83" s="12"/>
      <c r="AE83" s="12"/>
      <c r="AF83" s="12"/>
    </row>
    <row r="84" spans="1:33" x14ac:dyDescent="0.25"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X84" s="12"/>
      <c r="Y84" s="12"/>
      <c r="Z84" s="12"/>
      <c r="AA84" s="12"/>
      <c r="AB84" s="12"/>
      <c r="AC84" s="12"/>
      <c r="AD84" s="12"/>
      <c r="AE84" s="12"/>
      <c r="AF84" s="12"/>
    </row>
    <row r="85" spans="1:33" s="4" customFormat="1" ht="6.75" customHeight="1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</row>
    <row r="86" spans="1:33" ht="13.5" hidden="1" customHeight="1" x14ac:dyDescent="0.25"/>
  </sheetData>
  <sheetProtection algorithmName="SHA-512" hashValue="7JLWfYnOlhoq6ra3DeK6xshOTGEhTqCgRRTu+zcQnRnXRHXXIkAuD+9pOIoF6HG3U4JLFyRW8mEiRvBjhGFTmw==" saltValue="UlFmUXlW5wfUQ08o8/TUiQ==" spinCount="100000" sheet="1" objects="1" scenarios="1"/>
  <mergeCells count="240">
    <mergeCell ref="B2:C3"/>
    <mergeCell ref="Y22:AA23"/>
    <mergeCell ref="Z25:AA25"/>
    <mergeCell ref="Z26:AA26"/>
    <mergeCell ref="Z27:AA27"/>
    <mergeCell ref="AC22:AE23"/>
    <mergeCell ref="AD25:AE25"/>
    <mergeCell ref="AD26:AE26"/>
    <mergeCell ref="AD27:AE27"/>
    <mergeCell ref="D26:E26"/>
    <mergeCell ref="F26:G26"/>
    <mergeCell ref="H26:I26"/>
    <mergeCell ref="J26:K26"/>
    <mergeCell ref="N26:O26"/>
    <mergeCell ref="P26:Q26"/>
    <mergeCell ref="D25:E25"/>
    <mergeCell ref="F25:G25"/>
    <mergeCell ref="H25:I25"/>
    <mergeCell ref="J25:K25"/>
    <mergeCell ref="N25:O25"/>
    <mergeCell ref="P25:Q25"/>
    <mergeCell ref="C22:K23"/>
    <mergeCell ref="AD15:AE15"/>
    <mergeCell ref="N18:O18"/>
    <mergeCell ref="R25:S25"/>
    <mergeCell ref="T25:U25"/>
    <mergeCell ref="Z13:AA13"/>
    <mergeCell ref="Y10:AA11"/>
    <mergeCell ref="AC10:AE11"/>
    <mergeCell ref="Z28:AA28"/>
    <mergeCell ref="Z29:AA29"/>
    <mergeCell ref="AD28:AE28"/>
    <mergeCell ref="AD29:AE29"/>
    <mergeCell ref="R27:S27"/>
    <mergeCell ref="T27:U27"/>
    <mergeCell ref="R26:S26"/>
    <mergeCell ref="T26:U26"/>
    <mergeCell ref="M22:U23"/>
    <mergeCell ref="Z16:AA16"/>
    <mergeCell ref="AD16:AE16"/>
    <mergeCell ref="Z17:AA17"/>
    <mergeCell ref="AD17:AE17"/>
    <mergeCell ref="AD13:AE13"/>
    <mergeCell ref="Z14:AA14"/>
    <mergeCell ref="AD14:AE14"/>
    <mergeCell ref="Z15:AA15"/>
    <mergeCell ref="P18:Q18"/>
    <mergeCell ref="R18:S18"/>
    <mergeCell ref="D31:E31"/>
    <mergeCell ref="F31:G31"/>
    <mergeCell ref="H31:I31"/>
    <mergeCell ref="J31:K31"/>
    <mergeCell ref="N31:O31"/>
    <mergeCell ref="P31:Q31"/>
    <mergeCell ref="R29:S29"/>
    <mergeCell ref="T29:U29"/>
    <mergeCell ref="D30:E30"/>
    <mergeCell ref="F30:G30"/>
    <mergeCell ref="H30:I30"/>
    <mergeCell ref="J30:K30"/>
    <mergeCell ref="N30:O30"/>
    <mergeCell ref="P30:Q30"/>
    <mergeCell ref="R30:S30"/>
    <mergeCell ref="T30:U30"/>
    <mergeCell ref="D29:E29"/>
    <mergeCell ref="F29:G29"/>
    <mergeCell ref="H29:I29"/>
    <mergeCell ref="J29:K29"/>
    <mergeCell ref="N29:O29"/>
    <mergeCell ref="P29:Q29"/>
    <mergeCell ref="R31:S31"/>
    <mergeCell ref="T31:U31"/>
    <mergeCell ref="D28:E28"/>
    <mergeCell ref="F28:G28"/>
    <mergeCell ref="H28:I28"/>
    <mergeCell ref="J28:K28"/>
    <mergeCell ref="N28:O28"/>
    <mergeCell ref="P28:Q28"/>
    <mergeCell ref="R28:S28"/>
    <mergeCell ref="T28:U28"/>
    <mergeCell ref="D27:E27"/>
    <mergeCell ref="F27:G27"/>
    <mergeCell ref="H27:I27"/>
    <mergeCell ref="J27:K27"/>
    <mergeCell ref="N27:O27"/>
    <mergeCell ref="P27:Q27"/>
    <mergeCell ref="T18:U18"/>
    <mergeCell ref="N19:O19"/>
    <mergeCell ref="P19:Q19"/>
    <mergeCell ref="R19:S19"/>
    <mergeCell ref="T19:U19"/>
    <mergeCell ref="N16:O16"/>
    <mergeCell ref="P16:Q16"/>
    <mergeCell ref="R16:S16"/>
    <mergeCell ref="T16:U16"/>
    <mergeCell ref="N17:O17"/>
    <mergeCell ref="T17:U17"/>
    <mergeCell ref="P17:Q17"/>
    <mergeCell ref="R17:S17"/>
    <mergeCell ref="N14:O14"/>
    <mergeCell ref="P14:Q14"/>
    <mergeCell ref="R14:S14"/>
    <mergeCell ref="T14:U14"/>
    <mergeCell ref="N15:O15"/>
    <mergeCell ref="P15:Q15"/>
    <mergeCell ref="R15:S15"/>
    <mergeCell ref="T15:U15"/>
    <mergeCell ref="C10:K11"/>
    <mergeCell ref="D13:E13"/>
    <mergeCell ref="F13:G13"/>
    <mergeCell ref="H13:I13"/>
    <mergeCell ref="J13:K13"/>
    <mergeCell ref="D14:E14"/>
    <mergeCell ref="F14:G14"/>
    <mergeCell ref="H18:I18"/>
    <mergeCell ref="H17:I17"/>
    <mergeCell ref="H16:I16"/>
    <mergeCell ref="H15:I15"/>
    <mergeCell ref="H14:I14"/>
    <mergeCell ref="J19:K19"/>
    <mergeCell ref="J18:K18"/>
    <mergeCell ref="J17:K17"/>
    <mergeCell ref="J16:K16"/>
    <mergeCell ref="J15:K15"/>
    <mergeCell ref="J14:K14"/>
    <mergeCell ref="T48:U48"/>
    <mergeCell ref="N49:O49"/>
    <mergeCell ref="P49:Q49"/>
    <mergeCell ref="R49:S49"/>
    <mergeCell ref="T49:U49"/>
    <mergeCell ref="H3:P8"/>
    <mergeCell ref="AA6:AC8"/>
    <mergeCell ref="AA38:AC40"/>
    <mergeCell ref="D19:E19"/>
    <mergeCell ref="D18:E18"/>
    <mergeCell ref="D17:E17"/>
    <mergeCell ref="D16:E16"/>
    <mergeCell ref="D15:E15"/>
    <mergeCell ref="F18:G18"/>
    <mergeCell ref="F19:G19"/>
    <mergeCell ref="F17:G17"/>
    <mergeCell ref="F16:G16"/>
    <mergeCell ref="F15:G15"/>
    <mergeCell ref="M10:U11"/>
    <mergeCell ref="N13:O13"/>
    <mergeCell ref="P13:Q13"/>
    <mergeCell ref="R13:S13"/>
    <mergeCell ref="T13:U13"/>
    <mergeCell ref="H19:I19"/>
    <mergeCell ref="H48:I48"/>
    <mergeCell ref="J48:K48"/>
    <mergeCell ref="D49:E49"/>
    <mergeCell ref="F49:G49"/>
    <mergeCell ref="H49:I49"/>
    <mergeCell ref="J49:K49"/>
    <mergeCell ref="N48:O48"/>
    <mergeCell ref="P48:Q48"/>
    <mergeCell ref="R48:S48"/>
    <mergeCell ref="H35:P40"/>
    <mergeCell ref="H42:P43"/>
    <mergeCell ref="C52:K53"/>
    <mergeCell ref="M52:U53"/>
    <mergeCell ref="D55:E55"/>
    <mergeCell ref="F55:G55"/>
    <mergeCell ref="H55:I55"/>
    <mergeCell ref="J55:K55"/>
    <mergeCell ref="D56:E56"/>
    <mergeCell ref="F56:G56"/>
    <mergeCell ref="H56:I56"/>
    <mergeCell ref="J56:K56"/>
    <mergeCell ref="N55:O55"/>
    <mergeCell ref="P55:Q55"/>
    <mergeCell ref="R55:S55"/>
    <mergeCell ref="T55:U55"/>
    <mergeCell ref="N56:O56"/>
    <mergeCell ref="P56:Q56"/>
    <mergeCell ref="R56:S56"/>
    <mergeCell ref="T56:U56"/>
    <mergeCell ref="C45:K46"/>
    <mergeCell ref="M45:U46"/>
    <mergeCell ref="D48:E48"/>
    <mergeCell ref="F48:G48"/>
    <mergeCell ref="Y45:AA46"/>
    <mergeCell ref="AC45:AE46"/>
    <mergeCell ref="Z50:AA50"/>
    <mergeCell ref="AD50:AE50"/>
    <mergeCell ref="Y53:AA54"/>
    <mergeCell ref="AC53:AE54"/>
    <mergeCell ref="Z58:AA58"/>
    <mergeCell ref="AD58:AE58"/>
    <mergeCell ref="Z57:AA57"/>
    <mergeCell ref="AD56:AE56"/>
    <mergeCell ref="AD57:AE57"/>
    <mergeCell ref="Z56:AA56"/>
    <mergeCell ref="Z48:AA48"/>
    <mergeCell ref="Z49:AA49"/>
    <mergeCell ref="AD48:AE48"/>
    <mergeCell ref="AD49:AE49"/>
    <mergeCell ref="H58:P59"/>
    <mergeCell ref="D61:E61"/>
    <mergeCell ref="F61:G61"/>
    <mergeCell ref="H61:I61"/>
    <mergeCell ref="J61:K61"/>
    <mergeCell ref="D62:E62"/>
    <mergeCell ref="F62:G62"/>
    <mergeCell ref="H62:I62"/>
    <mergeCell ref="J62:K62"/>
    <mergeCell ref="N61:O61"/>
    <mergeCell ref="P61:Q61"/>
    <mergeCell ref="R61:S61"/>
    <mergeCell ref="T61:U61"/>
    <mergeCell ref="N62:O62"/>
    <mergeCell ref="P62:Q62"/>
    <mergeCell ref="R62:S62"/>
    <mergeCell ref="T62:U62"/>
    <mergeCell ref="H66:P71"/>
    <mergeCell ref="H73:P74"/>
    <mergeCell ref="I76:J76"/>
    <mergeCell ref="K76:L76"/>
    <mergeCell ref="M76:N76"/>
    <mergeCell ref="O76:P76"/>
    <mergeCell ref="I77:J77"/>
    <mergeCell ref="K77:L77"/>
    <mergeCell ref="M77:N77"/>
    <mergeCell ref="O77:P77"/>
    <mergeCell ref="AA69:AC71"/>
    <mergeCell ref="AB73:AC73"/>
    <mergeCell ref="AB74:AC74"/>
    <mergeCell ref="AB75:AC75"/>
    <mergeCell ref="AB76:AC76"/>
    <mergeCell ref="AB77:AC77"/>
    <mergeCell ref="H79:P80"/>
    <mergeCell ref="I82:J82"/>
    <mergeCell ref="K82:L82"/>
    <mergeCell ref="M82:N82"/>
    <mergeCell ref="O82:P82"/>
    <mergeCell ref="I83:J83"/>
    <mergeCell ref="K83:L83"/>
    <mergeCell ref="M83:N83"/>
    <mergeCell ref="O83:P83"/>
  </mergeCells>
  <dataValidations count="5">
    <dataValidation allowBlank="1" showInputMessage="1" showErrorMessage="1" promptTitle="Внимание!" prompt="Моля преди да продължите нататък, попълнете датата!" sqref="D14:E19 D26:E31 N14:O19 N26:O31 D49:E49 D56:E56 D62:E62 N62:O62 N56:O56 N49:O49" xr:uid="{6049BFCE-4E4C-4F99-9EE8-00E60F2D9C93}"/>
    <dataValidation allowBlank="1" showInputMessage="1" showErrorMessage="1" promptTitle="Внимание!" prompt="Моля преди да продължите нататък, напишете часа, в който ще се проведе мачът." sqref="F14:G19 F26:G31 P14:Q19 P26:Q31" xr:uid="{B97C1085-80E9-4B91-A7BA-9C8514856258}"/>
    <dataValidation allowBlank="1" showInputMessage="1" showErrorMessage="1" promptTitle="Внимание!" prompt="Моля въведете отборите в съответните групи. По-нататъчно попълване няма да бъде необходимо." sqref="Z14:AA17 AD14:AE17 Z26:AA29 AD26:AE29" xr:uid="{7707FB68-79DD-41F0-AFA9-916006143527}"/>
    <dataValidation allowBlank="1" showInputMessage="1" showErrorMessage="1" promptTitle="Внимание!" prompt="Моля преди да продължите нататък, попълнете датата!_x000a_" sqref="I77:J77 I83:J83" xr:uid="{C9E60A69-CE7A-47FF-862A-AF4B7811C602}"/>
    <dataValidation allowBlank="1" showInputMessage="1" showErrorMessage="1" promptTitle="Внимание!" prompt="Моля преди да продължите нататък, напишете часа, в който ще се проведе мачът._x000a_" sqref="K77:L77 K83:L83 F62:G62 P62:Q62 P56:Q56 P49:Q49 F49:G49 F56:G56" xr:uid="{A0E35C46-6734-42D7-A443-F92C61A1B02C}"/>
  </dataValidations>
  <hyperlinks>
    <hyperlink ref="B2:C3" location="Начало!A1" display="← Назад" xr:uid="{5A732E1D-DF2D-495E-8214-79C0C780FED7}"/>
  </hyperlinks>
  <pageMargins left="0.7" right="0.7" top="0.75" bottom="0.75" header="0.3" footer="0.3"/>
  <pageSetup paperSize="9" orientation="portrait" horizontalDpi="0" verticalDpi="0" r:id="rId1"/>
  <ignoredErrors>
    <ignoredError sqref="J15 T15 J27 T2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1013A-91FC-47CD-887C-74EFEC796145}">
  <sheetPr codeName="Sheet3"/>
  <dimension ref="A1:BC62"/>
  <sheetViews>
    <sheetView tabSelected="1" topLeftCell="V1" zoomScale="92" zoomScaleNormal="106" workbookViewId="0">
      <selection activeCell="AV39" sqref="AV39:AX40"/>
    </sheetView>
  </sheetViews>
  <sheetFormatPr defaultColWidth="0" defaultRowHeight="15" zeroHeight="1" x14ac:dyDescent="0.25"/>
  <cols>
    <col min="1" max="1" width="1.28515625" style="4" customWidth="1"/>
    <col min="2" max="2" width="9.140625" style="14" customWidth="1"/>
    <col min="3" max="3" width="10" style="14" customWidth="1"/>
    <col min="4" max="4" width="10.7109375" style="14" customWidth="1"/>
    <col min="5" max="5" width="10.42578125" style="14" customWidth="1"/>
    <col min="6" max="13" width="10" style="14" customWidth="1"/>
    <col min="14" max="14" width="10" style="14" hidden="1" customWidth="1"/>
    <col min="15" max="15" width="9.140625" style="14" customWidth="1"/>
    <col min="16" max="16" width="10" style="14" customWidth="1"/>
    <col min="17" max="17" width="10.7109375" style="14" customWidth="1"/>
    <col min="18" max="26" width="10" style="14" customWidth="1"/>
    <col min="27" max="27" width="10" style="14" hidden="1" customWidth="1"/>
    <col min="28" max="28" width="9.140625" style="14" customWidth="1"/>
    <col min="29" max="29" width="10" style="14" customWidth="1"/>
    <col min="30" max="30" width="10.7109375" style="14" customWidth="1"/>
    <col min="31" max="39" width="10" style="14" customWidth="1"/>
    <col min="40" max="40" width="10" style="14" hidden="1" customWidth="1"/>
    <col min="41" max="41" width="9.140625" style="14" customWidth="1"/>
    <col min="42" max="42" width="10" style="14" customWidth="1"/>
    <col min="43" max="43" width="10.7109375" style="14" customWidth="1"/>
    <col min="44" max="52" width="10" style="14" customWidth="1"/>
    <col min="53" max="53" width="2.140625" style="14" hidden="1" customWidth="1"/>
    <col min="54" max="54" width="9.140625" style="14" customWidth="1"/>
    <col min="55" max="55" width="1.28515625" style="13" customWidth="1"/>
    <col min="56" max="16384" width="9.140625" style="14" hidden="1"/>
  </cols>
  <sheetData>
    <row r="1" spans="1:54" s="13" customFormat="1" ht="6.75" customHeight="1" thickBot="1" x14ac:dyDescent="0.3">
      <c r="A1" s="4"/>
    </row>
    <row r="2" spans="1:54" x14ac:dyDescent="0.25">
      <c r="B2" s="159" t="s">
        <v>67</v>
      </c>
      <c r="C2" s="160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</row>
    <row r="3" spans="1:54" ht="15.75" thickBot="1" x14ac:dyDescent="0.3">
      <c r="B3" s="161"/>
      <c r="C3" s="16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</row>
    <row r="4" spans="1:54" ht="15.75" thickBot="1" x14ac:dyDescent="0.3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</row>
    <row r="5" spans="1:54" ht="15" customHeight="1" x14ac:dyDescent="0.25">
      <c r="B5" s="12"/>
      <c r="C5" s="120" t="s">
        <v>2</v>
      </c>
      <c r="D5" s="121"/>
      <c r="E5" s="121"/>
      <c r="F5" s="121"/>
      <c r="G5" s="121"/>
      <c r="H5" s="121"/>
      <c r="I5" s="121"/>
      <c r="J5" s="121"/>
      <c r="K5" s="121"/>
      <c r="L5" s="121"/>
      <c r="M5" s="122"/>
      <c r="N5" s="57"/>
      <c r="O5" s="12"/>
      <c r="P5" s="120" t="s">
        <v>3</v>
      </c>
      <c r="Q5" s="121"/>
      <c r="R5" s="121"/>
      <c r="S5" s="121"/>
      <c r="T5" s="121"/>
      <c r="U5" s="121"/>
      <c r="V5" s="121"/>
      <c r="W5" s="121"/>
      <c r="X5" s="121"/>
      <c r="Y5" s="121"/>
      <c r="Z5" s="122"/>
      <c r="AA5" s="57"/>
      <c r="AB5" s="12"/>
      <c r="AC5" s="120" t="s">
        <v>4</v>
      </c>
      <c r="AD5" s="121"/>
      <c r="AE5" s="121"/>
      <c r="AF5" s="121"/>
      <c r="AG5" s="121"/>
      <c r="AH5" s="121"/>
      <c r="AI5" s="121"/>
      <c r="AJ5" s="121"/>
      <c r="AK5" s="121"/>
      <c r="AL5" s="121"/>
      <c r="AM5" s="122"/>
      <c r="AN5" s="57"/>
      <c r="AO5" s="12"/>
      <c r="AP5" s="120" t="s">
        <v>5</v>
      </c>
      <c r="AQ5" s="121"/>
      <c r="AR5" s="121"/>
      <c r="AS5" s="121"/>
      <c r="AT5" s="121"/>
      <c r="AU5" s="121"/>
      <c r="AV5" s="121"/>
      <c r="AW5" s="121"/>
      <c r="AX5" s="121"/>
      <c r="AY5" s="121"/>
      <c r="AZ5" s="122"/>
      <c r="BB5" s="12"/>
    </row>
    <row r="6" spans="1:54" ht="15" customHeight="1" thickBot="1" x14ac:dyDescent="0.3">
      <c r="B6" s="12"/>
      <c r="C6" s="123"/>
      <c r="D6" s="124"/>
      <c r="E6" s="124"/>
      <c r="F6" s="124"/>
      <c r="G6" s="124"/>
      <c r="H6" s="124"/>
      <c r="I6" s="124"/>
      <c r="J6" s="124"/>
      <c r="K6" s="124"/>
      <c r="L6" s="124"/>
      <c r="M6" s="125"/>
      <c r="N6" s="57"/>
      <c r="O6" s="12"/>
      <c r="P6" s="123"/>
      <c r="Q6" s="124"/>
      <c r="R6" s="124"/>
      <c r="S6" s="124"/>
      <c r="T6" s="124"/>
      <c r="U6" s="124"/>
      <c r="V6" s="124"/>
      <c r="W6" s="124"/>
      <c r="X6" s="124"/>
      <c r="Y6" s="124"/>
      <c r="Z6" s="125"/>
      <c r="AA6" s="57"/>
      <c r="AB6" s="12"/>
      <c r="AC6" s="123"/>
      <c r="AD6" s="124"/>
      <c r="AE6" s="124"/>
      <c r="AF6" s="124"/>
      <c r="AG6" s="124"/>
      <c r="AH6" s="124"/>
      <c r="AI6" s="124"/>
      <c r="AJ6" s="124"/>
      <c r="AK6" s="124"/>
      <c r="AL6" s="124"/>
      <c r="AM6" s="125"/>
      <c r="AN6" s="57"/>
      <c r="AO6" s="12"/>
      <c r="AP6" s="123"/>
      <c r="AQ6" s="124"/>
      <c r="AR6" s="124"/>
      <c r="AS6" s="124"/>
      <c r="AT6" s="124"/>
      <c r="AU6" s="124"/>
      <c r="AV6" s="124"/>
      <c r="AW6" s="124"/>
      <c r="AX6" s="124"/>
      <c r="AY6" s="124"/>
      <c r="AZ6" s="125"/>
      <c r="BB6" s="12"/>
    </row>
    <row r="7" spans="1:54" ht="15.75" thickBot="1" x14ac:dyDescent="0.3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B7" s="12"/>
    </row>
    <row r="8" spans="1:54" ht="15" customHeight="1" x14ac:dyDescent="0.25">
      <c r="B8" s="12"/>
      <c r="C8" s="58" t="s">
        <v>20</v>
      </c>
      <c r="D8" s="59" t="s">
        <v>21</v>
      </c>
      <c r="E8" s="59" t="s">
        <v>22</v>
      </c>
      <c r="F8" s="84" t="s">
        <v>23</v>
      </c>
      <c r="G8" s="84"/>
      <c r="H8" s="59" t="s">
        <v>11</v>
      </c>
      <c r="I8" s="59" t="s">
        <v>24</v>
      </c>
      <c r="J8" s="59" t="s">
        <v>25</v>
      </c>
      <c r="K8" s="59" t="s">
        <v>26</v>
      </c>
      <c r="L8" s="59" t="s">
        <v>27</v>
      </c>
      <c r="M8" s="60" t="s">
        <v>28</v>
      </c>
      <c r="O8" s="12"/>
      <c r="P8" s="58" t="s">
        <v>20</v>
      </c>
      <c r="Q8" s="59" t="s">
        <v>21</v>
      </c>
      <c r="R8" s="59" t="s">
        <v>22</v>
      </c>
      <c r="S8" s="84" t="s">
        <v>23</v>
      </c>
      <c r="T8" s="84"/>
      <c r="U8" s="59" t="s">
        <v>11</v>
      </c>
      <c r="V8" s="59" t="s">
        <v>24</v>
      </c>
      <c r="W8" s="59" t="s">
        <v>25</v>
      </c>
      <c r="X8" s="59" t="s">
        <v>26</v>
      </c>
      <c r="Y8" s="59" t="s">
        <v>27</v>
      </c>
      <c r="Z8" s="60" t="s">
        <v>28</v>
      </c>
      <c r="AB8" s="12"/>
      <c r="AC8" s="58" t="s">
        <v>20</v>
      </c>
      <c r="AD8" s="59" t="s">
        <v>21</v>
      </c>
      <c r="AE8" s="59" t="s">
        <v>22</v>
      </c>
      <c r="AF8" s="84" t="s">
        <v>23</v>
      </c>
      <c r="AG8" s="84"/>
      <c r="AH8" s="59" t="s">
        <v>11</v>
      </c>
      <c r="AI8" s="59" t="s">
        <v>24</v>
      </c>
      <c r="AJ8" s="59" t="s">
        <v>25</v>
      </c>
      <c r="AK8" s="59" t="s">
        <v>26</v>
      </c>
      <c r="AL8" s="59" t="s">
        <v>27</v>
      </c>
      <c r="AM8" s="60" t="s">
        <v>28</v>
      </c>
      <c r="AO8" s="12"/>
      <c r="AP8" s="58" t="s">
        <v>20</v>
      </c>
      <c r="AQ8" s="59" t="s">
        <v>21</v>
      </c>
      <c r="AR8" s="59" t="s">
        <v>22</v>
      </c>
      <c r="AS8" s="84" t="s">
        <v>23</v>
      </c>
      <c r="AT8" s="84"/>
      <c r="AU8" s="59" t="s">
        <v>11</v>
      </c>
      <c r="AV8" s="59" t="s">
        <v>24</v>
      </c>
      <c r="AW8" s="59" t="s">
        <v>25</v>
      </c>
      <c r="AX8" s="59" t="s">
        <v>26</v>
      </c>
      <c r="AY8" s="59" t="s">
        <v>27</v>
      </c>
      <c r="AZ8" s="60" t="s">
        <v>28</v>
      </c>
      <c r="BB8" s="12"/>
    </row>
    <row r="9" spans="1:54" ht="15" customHeight="1" x14ac:dyDescent="0.25">
      <c r="B9" s="12"/>
      <c r="C9" s="167">
        <v>1</v>
      </c>
      <c r="D9" s="163">
        <f>VLOOKUP(C9,ГрупаА,2)</f>
        <v>44800</v>
      </c>
      <c r="E9" s="165">
        <f>VLOOKUP(C9,ГрупаА,4)</f>
        <v>0.77083333333333337</v>
      </c>
      <c r="F9" s="99" t="str">
        <f>VLOOKUP(C9,ГрупаА,6)</f>
        <v>Сърбия</v>
      </c>
      <c r="G9" s="99"/>
      <c r="H9" s="26">
        <f>IF(OR(I9="",I10=""),0,IF(AND(I9=25,I9-I10&gt;=2),1,IF(I9-I10=2,IF(I9&lt;25,0,1),0)))+IF(OR(J9="",J10="",I9="",I10=""),0,IF(OR(AND(I9=0,I10=0),AND(I9&lt;25,I10&lt;25)),0,IF(AND(J9=25,J9-J10&gt;=2),1,IF(J9-J10=2,IF(J9&lt;25,0,1),0))))+IF(OR(K9="",K10="",J9="",J10="",I9="",I10=""),0,IF(OR(AND(J9=0,J10=0),AND(I9=0,I10=0),AND(J9&lt;25,J10&lt;25),AND(I9&lt;25,I10&lt;25)),0,IF(AND(K9=25,K9-K10&gt;=2),1,IF(K9-K10=2,IF(K9&lt;25,0,1),0))))+IF(OR(L9="",L10="",K9="",K10="",J9="",J10="",I9="",I10=""),0,IF(OR(AND(J9=0,J10=0),AND(I9=0,I10=0),AND(K9=0,K10=0),AND(J9&lt;25,J10&lt;25),AND(I9&lt;25,I10&lt;25),AND(K9&lt;25,K10&lt;25)),0,IF(AND(L9=25,L9-L10&gt;=2),1,IF(L9-L10=2,IF(L9&lt;25,0,1),0))))+IF(OR(M9="",M10="",L9="",L10="",K9="",K10="",J9="",J10="",I9="",I10=""),0,IF(OR(AND(J9=0,J10=0),AND(I9=0,I10=0),AND(K9=0,K10=0),AND(L9=0,L10=0),AND(J9&lt;25,J10&lt;25),AND(I9&lt;25,I10&lt;25),AND(K9&lt;25,K10&lt;25),AND(L9&lt;25,L10&lt;25)),0,IF(AND(M9=15,M9-M10&gt;=2),1,IF(M9-M10=2,IF(M9&lt;25,0,1),0))))</f>
        <v>0</v>
      </c>
      <c r="I9" s="8"/>
      <c r="J9" s="8"/>
      <c r="K9" s="8"/>
      <c r="L9" s="8"/>
      <c r="M9" s="9"/>
      <c r="N9" s="14">
        <f>IF(H9-H10&gt;=2,3,IF(H9-H10=1,2,IF(H9-H10=-1,1,0)))</f>
        <v>0</v>
      </c>
      <c r="O9" s="12"/>
      <c r="P9" s="167">
        <v>1</v>
      </c>
      <c r="Q9" s="163">
        <f>VLOOKUP(P9,ГрупаB,2)</f>
        <v>44800</v>
      </c>
      <c r="R9" s="165">
        <f>VLOOKUP(P9,ГрупаB,4)</f>
        <v>0.77083333333333337</v>
      </c>
      <c r="S9" s="99" t="str">
        <f>VLOOKUP(P9,ГрупаB,6)</f>
        <v>Бразилия</v>
      </c>
      <c r="T9" s="99"/>
      <c r="U9" s="26">
        <f>IF(OR(V9="",V10=""),0,IF(AND(V9=25,V9-V10&gt;=2),1,IF(V9-V10=2,IF(V9&lt;25,0,1),0)))+IF(OR(W9="",W10="",V9="",V10=""),0,IF(OR(AND(V9=0,V10=0),AND(V9&lt;25,V10&lt;25)),0,IF(AND(W9=25,W9-W10&gt;=2),1,IF(W9-W10=2,IF(W9&lt;25,0,1),0))))+IF(OR(X9="",X10="",W9="",W10="",V9="",V10=""),0,IF(OR(AND(W9=0,W10=0),AND(V9=0,V10=0),AND(W9&lt;25,W10&lt;25),AND(V9&lt;25,V10&lt;25)),0,IF(AND(X9=25,X9-X10&gt;=2),1,IF(X9-X10=2,IF(X9&lt;25,0,1),0))))+IF(OR(Y9="",Y10="",X9="",X10="",W9="",W10="",V9="",V10=""),0,IF(OR(AND(W9=0,W10=0),AND(V9=0,V10=0),AND(X9=0,X10=0),AND(W9&lt;25,W10&lt;25),AND(V9&lt;25,V10&lt;25),AND(X9&lt;25,X10&lt;25)),0,IF(AND(Y9=25,Y9-Y10&gt;=2),1,IF(Y9-Y10=2,IF(Y9&lt;25,0,1),0))))+IF(OR(Z9="",Z10="",Y9="",Y10="",X9="",X10="",W9="",W10="",V9="",V10=""),0,IF(OR(AND(W9=0,W10=0),AND(V9=0,V10=0),AND(X9=0,X10=0),AND(Y9=0,Y10=0),AND(W9&lt;25,W10&lt;25),AND(V9&lt;25,V10&lt;25),AND(X9&lt;25,X10&lt;25),AND(Y9&lt;25,Y10&lt;25)),0,IF(AND(Z9=15,Z9-Z10&gt;=2),1,IF(Z9-Z10=2,IF(Z9&lt;25,0,1),0))))</f>
        <v>0</v>
      </c>
      <c r="V9" s="8"/>
      <c r="W9" s="8"/>
      <c r="X9" s="8"/>
      <c r="Y9" s="8"/>
      <c r="Z9" s="9"/>
      <c r="AA9" s="14">
        <f>IF(U9-U10&gt;=2,3,IF(U9-U10=1,2,IF(U9-U10=-1,1,0)))</f>
        <v>0</v>
      </c>
      <c r="AB9" s="12"/>
      <c r="AC9" s="167">
        <v>1</v>
      </c>
      <c r="AD9" s="163">
        <f>VLOOKUP(AC9,ГрупаС,2)</f>
        <v>44805</v>
      </c>
      <c r="AE9" s="165">
        <f>VLOOKUP(AC9,ГрупаС,4)</f>
        <v>0.77083333333333337</v>
      </c>
      <c r="AF9" s="99" t="str">
        <f>VLOOKUP(AC9,ГрупаС,6)</f>
        <v>Полша</v>
      </c>
      <c r="AG9" s="99"/>
      <c r="AH9" s="26">
        <f>IF(OR(AI9="",AI10=""),0,IF(AND(AI9=25,AI9-AI10&gt;=2),1,IF(AI9-AI10=2,IF(AI9&lt;25,0,1),0)))+IF(OR(AJ9="",AJ10="",AI9="",AI10=""),0,IF(OR(AND(AI9=0,AI10=0),AND(AI9&lt;25,AI10&lt;25)),0,IF(AND(AJ9=25,AJ9-AJ10&gt;=2),1,IF(AJ9-AJ10=2,IF(AJ9&lt;25,0,1),0))))+IF(OR(AK9="",AK10="",AJ9="",AJ10="",AI9="",AI10=""),0,IF(OR(AND(AJ9=0,AJ10=0),AND(AI9=0,AI10=0),AND(AJ9&lt;25,AJ10&lt;25),AND(AI9&lt;25,AI10&lt;25)),0,IF(AND(AK9=25,AK9-AK10&gt;=2),1,IF(AK9-AK10=2,IF(AK9&lt;25,0,1),0))))+IF(OR(AL9="",AL10="",AK9="",AK10="",AJ9="",AJ10="",AI9="",AI10=""),0,IF(OR(AND(AJ9=0,AJ10=0),AND(AI9=0,AI10=0),AND(AK9=0,AK10=0),AND(AJ9&lt;25,AJ10&lt;25),AND(AI9&lt;25,AI10&lt;25),AND(AK9&lt;25,AK10&lt;25)),0,IF(AND(AL9=25,AL9-AL10&gt;=2),1,IF(AL9-AL10=2,IF(AL9&lt;25,0,1),0))))+IF(OR(AM9="",AM10="",AL9="",AL10="",AK9="",AK10="",AJ9="",AJ10="",AI9="",AI10=""),0,IF(OR(AND(AJ9=0,AJ10=0),AND(AI9=0,AI10=0),AND(AK9=0,AK10=0),AND(AL9=0,AL10=0),AND(AJ9&lt;25,AJ10&lt;25),AND(AI9&lt;25,AI10&lt;25),AND(AK9&lt;25,AK10&lt;25),AND(AL9&lt;25,AL10&lt;25)),0,IF(AND(AM9=15,AM9-AM10&gt;=2),1,IF(AM9-AM10=2,IF(AM9&lt;25,0,1),0))))</f>
        <v>0</v>
      </c>
      <c r="AI9" s="8"/>
      <c r="AJ9" s="8"/>
      <c r="AK9" s="8"/>
      <c r="AL9" s="8"/>
      <c r="AM9" s="9"/>
      <c r="AN9" s="14">
        <f>IF(AH9-AH10&gt;=2,3,IF(AH9-AH10=1,2,IF(AH9-AH10=-1,1,0)))</f>
        <v>0</v>
      </c>
      <c r="AO9" s="12"/>
      <c r="AP9" s="167">
        <v>1</v>
      </c>
      <c r="AQ9" s="163">
        <f>VLOOKUP(AP9,ГрупаD,2)</f>
        <v>44805</v>
      </c>
      <c r="AR9" s="165">
        <f>VLOOKUP(AP9,ГрупаD,4)</f>
        <v>0.77083333333333337</v>
      </c>
      <c r="AS9" s="99" t="str">
        <f>VLOOKUP(AP9,ГрупаD,6)</f>
        <v>Франция</v>
      </c>
      <c r="AT9" s="99"/>
      <c r="AU9" s="26">
        <f>IF(OR(AV9="",AV10=""),0,IF(AND(AV9=25,AV9-AV10&gt;=2),1,IF(AV9-AV10=2,IF(AV9&lt;25,0,1),0)))+IF(OR(AW9="",AW10="",AV9="",AV10=""),0,IF(OR(AND(AV9=0,AV10=0),AND(AV9&lt;25,AV10&lt;25)),0,IF(AND(AW9=25,AW9-AW10&gt;=2),1,IF(AW9-AW10=2,IF(AW9&lt;25,0,1),0))))+IF(OR(AX9="",AX10="",AW9="",AW10="",AV9="",AV10=""),0,IF(OR(AND(AW9=0,AW10=0),AND(AV9=0,AV10=0),AND(AW9&lt;25,AW10&lt;25),AND(AV9&lt;25,AV10&lt;25)),0,IF(AND(AX9=25,AX9-AX10&gt;=2),1,IF(AX9-AX10=2,IF(AX9&lt;25,0,1),0))))+IF(OR(AY9="",AY10="",AX9="",AX10="",AW9="",AW10="",AV9="",AV10=""),0,IF(OR(AND(AW9=0,AW10=0),AND(AV9=0,AV10=0),AND(AX9=0,AX10=0),AND(AW9&lt;25,AW10&lt;25),AND(AV9&lt;25,AV10&lt;25),AND(AX9&lt;25,AX10&lt;25)),0,IF(AND(AY9=25,AY9-AY10&gt;=2),1,IF(AY9-AY10=2,IF(AY9&lt;25,0,1),0))))+IF(OR(AZ9="",AZ10="",AY9="",AY10="",AX9="",AX10="",AW9="",AW10="",AV9="",AV10=""),0,IF(OR(AND(AW9=0,AW10=0),AND(AV9=0,AV10=0),AND(AX9=0,AX10=0),AND(AY9=0,AY10=0),AND(AW9&lt;25,AW10&lt;25),AND(AV9&lt;25,AV10&lt;25),AND(AX9&lt;25,AX10&lt;25),AND(AY9&lt;25,AY10&lt;25)),0,IF(AND(AZ9=15,AZ9-AZ10&gt;=2),1,IF(AZ9-AZ10=2,IF(AZ9&lt;25,0,1),0))))</f>
        <v>0</v>
      </c>
      <c r="AV9" s="8"/>
      <c r="AW9" s="8"/>
      <c r="AX9" s="8"/>
      <c r="AY9" s="8"/>
      <c r="AZ9" s="9"/>
      <c r="BA9" s="14">
        <f>IF(AU9-AU10&gt;=2,3,IF(AU9-AU10=1,2,IF(AU9-AU10=-1,1,0)))</f>
        <v>0</v>
      </c>
      <c r="BB9" s="12"/>
    </row>
    <row r="10" spans="1:54" ht="15" customHeight="1" thickBot="1" x14ac:dyDescent="0.3">
      <c r="B10" s="12"/>
      <c r="C10" s="168"/>
      <c r="D10" s="164"/>
      <c r="E10" s="166"/>
      <c r="F10" s="88" t="str">
        <f>VLOOKUP(C9,ГрупаА,8)</f>
        <v>Украйна</v>
      </c>
      <c r="G10" s="88"/>
      <c r="H10" s="32">
        <f>IF(OR(I9="",I10=""),0,IF(AND(I10=25,I10-I9&gt;=2),1,IF(I10-I9=2,IF(I10&lt;25,0,1),0)))+IF(OR(J9="",J10="",I9="",I10=""),0,IF(OR(AND(I9=0,I10=0),AND(I9&lt;25,I10&lt;25)),0,IF(AND(J10=25,J10-J9&gt;=2),1,IF(J10-J9=2,IF(J10&lt;25,0,1),0))))+IF(OR(K9="",K10="",J9="",J10="",I9="",I10=""),0,IF(OR(AND(J9=0,J10=0),AND(I9=0,I10=0),AND(J9&lt;25,J10&lt;25),AND(I9&lt;25,I10&lt;25)),0,IF(AND(K10=25,K10-K9&gt;=2),1,IF(K10-K9=2,IF(K10&lt;25,0,1),0))))+IF(OR(L9="",L10="",K9="",K10="",J9="",J10="",I9="",I10=""),0,IF(OR(AND(J9=0,J10=0),AND(I9=0,I10=0),AND(K9=0,K10=0),AND(J9&lt;25,J10&lt;25),AND(I9&lt;25,I10&lt;25),AND(K9&lt;25,K10&lt;25)),0,IF(AND(L10=25,L10-L9&gt;=2),1,IF(L10-L9=2,IF(L10&lt;25,0,1),0))))+IF(OR(M9="",M10="",L9="",L10="",K9="",K10="",J9="",J10="",I9="",I10=""),0,IF(OR(AND(J9=0,J10=0),AND(I9=0,I10=0),AND(K9=0,K10=0),AND(L9=0,L10=0),AND(J9&lt;25,J10&lt;25),AND(I9&lt;25,I10&lt;25),AND(K9&lt;25,K10&lt;25),AND(L9&lt;25,L10&lt;25)),0,IF(AND(M10=15,M10-M9&gt;=2),1,IF(M10-M9=2,IF(M10&lt;25,0,1),0))))</f>
        <v>0</v>
      </c>
      <c r="I10" s="10"/>
      <c r="J10" s="10"/>
      <c r="K10" s="10"/>
      <c r="L10" s="10"/>
      <c r="M10" s="11"/>
      <c r="N10" s="14">
        <f>IF(H10-H9&gt;=2,3,IF(H10-H9=1,2,IF(H10-H9=-1,1,0)))</f>
        <v>0</v>
      </c>
      <c r="O10" s="12"/>
      <c r="P10" s="168"/>
      <c r="Q10" s="164"/>
      <c r="R10" s="166"/>
      <c r="S10" s="88" t="str">
        <f>VLOOKUP(P9,ГрупаB,8)</f>
        <v>Япония</v>
      </c>
      <c r="T10" s="88"/>
      <c r="U10" s="32">
        <f>IF(OR(V9="",V10=""),0,IF(AND(V10=25,V10-V9&gt;=2),1,IF(V10-V9=2,IF(V10&lt;25,0,1),0)))+IF(OR(W9="",W10="",V9="",V10=""),0,IF(OR(AND(V9=0,V10=0),AND(V9&lt;25,V10&lt;25)),0,IF(AND(W10=25,W10-W9&gt;=2),1,IF(W10-W9=2,IF(W10&lt;25,0,1),0))))+IF(OR(X9="",X10="",W9="",W10="",V9="",V10=""),0,IF(OR(AND(W9=0,W10=0),AND(V9=0,V10=0),AND(W9&lt;25,W10&lt;25),AND(V9&lt;25,V10&lt;25)),0,IF(AND(X10=25,X10-X9&gt;=2),1,IF(X10-X9=2,IF(X10&lt;25,0,1),0))))+IF(OR(Y9="",Y10="",X9="",X10="",W9="",W10="",V9="",V10=""),0,IF(OR(AND(W9=0,W10=0),AND(V9=0,V10=0),AND(X9=0,X10=0),AND(W9&lt;25,W10&lt;25),AND(V9&lt;25,V10&lt;25),AND(X9&lt;25,X10&lt;25)),0,IF(AND(Y10=25,Y10-Y9&gt;=2),1,IF(Y10-Y9=2,IF(Y10&lt;25,0,1),0))))+IF(OR(Z9="",Z10="",Y9="",Y10="",X9="",X10="",W9="",W10="",V9="",V10=""),0,IF(OR(AND(W9=0,W10=0),AND(V9=0,V10=0),AND(X9=0,X10=0),AND(Y9=0,Y10=0),AND(W9&lt;25,W10&lt;25),AND(V9&lt;25,V10&lt;25),AND(X9&lt;25,X10&lt;25),AND(Y9&lt;25,Y10&lt;25)),0,IF(AND(Z10=15,Z10-Z9&gt;=2),1,IF(Z10-Z9=2,IF(Z10&lt;25,0,1),0))))</f>
        <v>0</v>
      </c>
      <c r="V10" s="10"/>
      <c r="W10" s="10"/>
      <c r="X10" s="10"/>
      <c r="Y10" s="10"/>
      <c r="Z10" s="11"/>
      <c r="AA10" s="14">
        <f>IF(U10-U9&gt;=2,3,IF(U10-U9=1,2,IF(U10-U9=-1,1,0)))</f>
        <v>0</v>
      </c>
      <c r="AB10" s="12"/>
      <c r="AC10" s="168"/>
      <c r="AD10" s="164"/>
      <c r="AE10" s="166"/>
      <c r="AF10" s="88" t="str">
        <f>VLOOKUP(AC9,ГрупаС,8)</f>
        <v xml:space="preserve">САЩ </v>
      </c>
      <c r="AG10" s="88"/>
      <c r="AH10" s="32">
        <f>IF(OR(AI9="",AI10=""),0,IF(AND(AI10=25,AI10-AI9&gt;=2),1,IF(AI10-AI9=2,IF(AI10&lt;25,0,1),0)))+IF(OR(AJ9="",AJ10="",AI9="",AI10=""),0,IF(OR(AND(AI9=0,AI10=0),AND(AI9&lt;25,AI10&lt;25)),0,IF(AND(AJ10=25,AJ10-AJ9&gt;=2),1,IF(AJ10-AJ9=2,IF(AJ10&lt;25,0,1),0))))+IF(OR(AK9="",AK10="",AJ9="",AJ10="",AI9="",AI10=""),0,IF(OR(AND(AJ9=0,AJ10=0),AND(AI9=0,AI10=0),AND(AJ9&lt;25,AJ10&lt;25),AND(AI9&lt;25,AI10&lt;25)),0,IF(AND(AK10=25,AK10-AK9&gt;=2),1,IF(AK10-AK9=2,IF(AK10&lt;25,0,1),0))))+IF(OR(AL9="",AL10="",AK9="",AK10="",AJ9="",AJ10="",AI9="",AI10=""),0,IF(OR(AND(AJ9=0,AJ10=0),AND(AI9=0,AI10=0),AND(AK9=0,AK10=0),AND(AJ9&lt;25,AJ10&lt;25),AND(AI9&lt;25,AI10&lt;25),AND(AK9&lt;25,AK10&lt;25)),0,IF(AND(AL10=25,AL10-AL9&gt;=2),1,IF(AL10-AL9=2,IF(AL10&lt;25,0,1),0))))+IF(OR(AM9="",AM10="",AL9="",AL10="",AK9="",AK10="",AJ9="",AJ10="",AI9="",AI10=""),0,IF(OR(AND(AJ9=0,AJ10=0),AND(AI9=0,AI10=0),AND(AK9=0,AK10=0),AND(AL9=0,AL10=0),AND(AJ9&lt;25,AJ10&lt;25),AND(AI9&lt;25,AI10&lt;25),AND(AK9&lt;25,AK10&lt;25),AND(AL9&lt;25,AL10&lt;25)),0,IF(AND(AM10=15,AM10-AM9&gt;=2),1,IF(AM10-AM9=2,IF(AM10&lt;25,0,1),0))))</f>
        <v>0</v>
      </c>
      <c r="AI10" s="10"/>
      <c r="AJ10" s="10"/>
      <c r="AK10" s="10"/>
      <c r="AL10" s="10"/>
      <c r="AM10" s="11"/>
      <c r="AN10" s="14">
        <f>IF(AH10-AH9&gt;=2,3,IF(AH10-AH9=1,2,IF(AH10-AH9=-1,1,0)))</f>
        <v>0</v>
      </c>
      <c r="AO10" s="12"/>
      <c r="AP10" s="168"/>
      <c r="AQ10" s="164"/>
      <c r="AR10" s="166"/>
      <c r="AS10" s="88" t="str">
        <f>VLOOKUP(AP9,ГрупаD,8)</f>
        <v>Словения</v>
      </c>
      <c r="AT10" s="88"/>
      <c r="AU10" s="32">
        <f>IF(OR(AV9="",AV10=""),0,IF(AND(AV10=25,AV10-AV9&gt;=2),1,IF(AV10-AV9=2,IF(AV10&lt;25,0,1),0)))+IF(OR(AW9="",AW10="",AV9="",AV10=""),0,IF(OR(AND(AV9=0,AV10=0),AND(AV9&lt;25,AV10&lt;25)),0,IF(AND(AW10=25,AW10-AW9&gt;=2),1,IF(AW10-AW9=2,IF(AW10&lt;25,0,1),0))))+IF(OR(AX9="",AX10="",AW9="",AW10="",AV9="",AV10=""),0,IF(OR(AND(AW9=0,AW10=0),AND(AV9=0,AV10=0),AND(AW9&lt;25,AW10&lt;25),AND(AV9&lt;25,AV10&lt;25)),0,IF(AND(AX10=25,AX10-AX9&gt;=2),1,IF(AX10-AX9=2,IF(AX10&lt;25,0,1),0))))+IF(OR(AY9="",AY10="",AX9="",AX10="",AW9="",AW10="",AV9="",AV10=""),0,IF(OR(AND(AW9=0,AW10=0),AND(AV9=0,AV10=0),AND(AX9=0,AX10=0),AND(AW9&lt;25,AW10&lt;25),AND(AV9&lt;25,AV10&lt;25),AND(AX9&lt;25,AX10&lt;25)),0,IF(AND(AY10=25,AY10-AY9&gt;=2),1,IF(AY10-AY9=2,IF(AY10&lt;25,0,1),0))))+IF(OR(AZ9="",AZ10="",AY9="",AY10="",AX9="",AX10="",AW9="",AW10="",AV9="",AV10=""),0,IF(OR(AND(AW9=0,AW10=0),AND(AV9=0,AV10=0),AND(AX9=0,AX10=0),AND(AY9=0,AY10=0),AND(AW9&lt;25,AW10&lt;25),AND(AV9&lt;25,AV10&lt;25),AND(AX9&lt;25,AX10&lt;25),AND(AY9&lt;25,AY10&lt;25)),0,IF(AND(AZ10=15,AZ10-AZ9&gt;=2),1,IF(AZ10-AZ9=2,IF(AZ10&lt;25,0,1),0))))</f>
        <v>0</v>
      </c>
      <c r="AV10" s="10"/>
      <c r="AW10" s="10"/>
      <c r="AX10" s="10"/>
      <c r="AY10" s="10"/>
      <c r="AZ10" s="11"/>
      <c r="BA10" s="14">
        <f>IF(AU10-AU9&gt;=2,3,IF(AU10-AU9=1,2,IF(AU10-AU9=-1,1,0)))</f>
        <v>0</v>
      </c>
      <c r="BB10" s="12"/>
    </row>
    <row r="11" spans="1:54" ht="15.75" thickBot="1" x14ac:dyDescent="0.3"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B11" s="12"/>
    </row>
    <row r="12" spans="1:54" ht="15" customHeight="1" x14ac:dyDescent="0.25">
      <c r="B12" s="12"/>
      <c r="C12" s="58" t="s">
        <v>20</v>
      </c>
      <c r="D12" s="59" t="s">
        <v>21</v>
      </c>
      <c r="E12" s="59" t="s">
        <v>22</v>
      </c>
      <c r="F12" s="84" t="s">
        <v>23</v>
      </c>
      <c r="G12" s="84"/>
      <c r="H12" s="59" t="s">
        <v>11</v>
      </c>
      <c r="I12" s="59" t="s">
        <v>24</v>
      </c>
      <c r="J12" s="59" t="s">
        <v>25</v>
      </c>
      <c r="K12" s="59" t="s">
        <v>26</v>
      </c>
      <c r="L12" s="59" t="s">
        <v>27</v>
      </c>
      <c r="M12" s="60" t="s">
        <v>28</v>
      </c>
      <c r="O12" s="12"/>
      <c r="P12" s="58" t="s">
        <v>20</v>
      </c>
      <c r="Q12" s="59" t="s">
        <v>21</v>
      </c>
      <c r="R12" s="59" t="s">
        <v>22</v>
      </c>
      <c r="S12" s="84" t="s">
        <v>23</v>
      </c>
      <c r="T12" s="84"/>
      <c r="U12" s="59" t="s">
        <v>11</v>
      </c>
      <c r="V12" s="59" t="s">
        <v>24</v>
      </c>
      <c r="W12" s="59" t="s">
        <v>25</v>
      </c>
      <c r="X12" s="59" t="s">
        <v>26</v>
      </c>
      <c r="Y12" s="59" t="s">
        <v>27</v>
      </c>
      <c r="Z12" s="60" t="s">
        <v>28</v>
      </c>
      <c r="AB12" s="12"/>
      <c r="AC12" s="58" t="s">
        <v>20</v>
      </c>
      <c r="AD12" s="59" t="s">
        <v>21</v>
      </c>
      <c r="AE12" s="59" t="s">
        <v>22</v>
      </c>
      <c r="AF12" s="84" t="s">
        <v>23</v>
      </c>
      <c r="AG12" s="84"/>
      <c r="AH12" s="59" t="s">
        <v>11</v>
      </c>
      <c r="AI12" s="59" t="s">
        <v>24</v>
      </c>
      <c r="AJ12" s="59" t="s">
        <v>25</v>
      </c>
      <c r="AK12" s="59" t="s">
        <v>26</v>
      </c>
      <c r="AL12" s="59" t="s">
        <v>27</v>
      </c>
      <c r="AM12" s="60" t="s">
        <v>28</v>
      </c>
      <c r="AO12" s="12"/>
      <c r="AP12" s="58" t="s">
        <v>20</v>
      </c>
      <c r="AQ12" s="59" t="s">
        <v>21</v>
      </c>
      <c r="AR12" s="59" t="s">
        <v>22</v>
      </c>
      <c r="AS12" s="84" t="s">
        <v>23</v>
      </c>
      <c r="AT12" s="84"/>
      <c r="AU12" s="59" t="s">
        <v>11</v>
      </c>
      <c r="AV12" s="59" t="s">
        <v>24</v>
      </c>
      <c r="AW12" s="59" t="s">
        <v>25</v>
      </c>
      <c r="AX12" s="59" t="s">
        <v>26</v>
      </c>
      <c r="AY12" s="59" t="s">
        <v>27</v>
      </c>
      <c r="AZ12" s="60" t="s">
        <v>28</v>
      </c>
      <c r="BB12" s="12"/>
    </row>
    <row r="13" spans="1:54" ht="15" customHeight="1" x14ac:dyDescent="0.25">
      <c r="B13" s="12"/>
      <c r="C13" s="167">
        <v>2</v>
      </c>
      <c r="D13" s="163">
        <f>VLOOKUP(C13,ГрупаА,2)</f>
        <v>44801</v>
      </c>
      <c r="E13" s="165">
        <f>VLOOKUP(C13,ГрупаА,4)</f>
        <v>0.8125</v>
      </c>
      <c r="F13" s="99" t="str">
        <f>VLOOKUP(C13,ГрупаА,6)</f>
        <v>Тунис</v>
      </c>
      <c r="G13" s="99"/>
      <c r="H13" s="26">
        <f>IF(OR(I13="",I14=""),0,IF(AND(I13=25,I13-I14&gt;=2),1,IF(I13-I14=2,IF(I13&lt;25,0,1),0)))+IF(OR(J13="",J14="",I13="",I14=""),0,IF(OR(AND(I13=0,I14=0),AND(I13&lt;25,I14&lt;25)),0,IF(AND(J13=25,J13-J14&gt;=2),1,IF(J13-J14=2,IF(J13&lt;25,0,1),0))))+IF(OR(K13="",K14="",J13="",J14="",I13="",I14=""),0,IF(OR(AND(J13=0,J14=0),AND(I13=0,I14=0),AND(J13&lt;25,J14&lt;25),AND(I13&lt;25,I14&lt;25)),0,IF(AND(K13=25,K13-K14&gt;=2),1,IF(K13-K14=2,IF(K13&lt;25,0,1),0))))+IF(OR(L13="",L14="",K13="",K14="",J13="",J14="",I13="",I14=""),0,IF(OR(AND(J13=0,J14=0),AND(I13=0,I14=0),AND(K13=0,K14=0),AND(J13&lt;25,J14&lt;25),AND(I13&lt;25,I14&lt;25),AND(K13&lt;25,K14&lt;25)),0,IF(AND(L13=25,L13-L14&gt;=2),1,IF(L13-L14=2,IF(L13&lt;25,0,1),0))))+IF(OR(M13="",M14="",L13="",L14="",K13="",K14="",J13="",J14="",I13="",I14=""),0,IF(OR(AND(J13=0,J14=0),AND(I13=0,I14=0),AND(K13=0,K14=0),AND(L13=0,L14=0),AND(J13&lt;25,J14&lt;25),AND(I13&lt;25,I14&lt;25),AND(K13&lt;25,K14&lt;25),AND(L13&lt;25,L14&lt;25)),0,IF(AND(M13=15,M13-M14&gt;=2),1,IF(M13-M14=2,IF(M13&lt;25,0,1),0))))</f>
        <v>0</v>
      </c>
      <c r="I13" s="8"/>
      <c r="J13" s="8"/>
      <c r="K13" s="8"/>
      <c r="L13" s="8"/>
      <c r="M13" s="9"/>
      <c r="N13" s="14">
        <f>IF(H13-H14&gt;=2,3,IF(H13-H14=1,2,IF(H13-H14=-1,1,0)))</f>
        <v>0</v>
      </c>
      <c r="O13" s="12"/>
      <c r="P13" s="167">
        <v>2</v>
      </c>
      <c r="Q13" s="163">
        <f>VLOOKUP(P13,ГрупаB,2)</f>
        <v>44801</v>
      </c>
      <c r="R13" s="165">
        <f>VLOOKUP(P13,ГрупаB,4)</f>
        <v>0.8125</v>
      </c>
      <c r="S13" s="99" t="str">
        <f>VLOOKUP(P13,ГрупаB,6)</f>
        <v>Куба</v>
      </c>
      <c r="T13" s="99"/>
      <c r="U13" s="26">
        <f>IF(OR(V13="",V14=""),0,IF(AND(V13=25,V13-V14&gt;=2),1,IF(V13-V14=2,IF(V13&lt;25,0,1),0)))+IF(OR(W13="",W14="",V13="",V14=""),0,IF(OR(AND(V13=0,V14=0),AND(V13&lt;25,V14&lt;25)),0,IF(AND(W13=25,W13-W14&gt;=2),1,IF(W13-W14=2,IF(W13&lt;25,0,1),0))))+IF(OR(X13="",X14="",W13="",W14="",V13="",V14=""),0,IF(OR(AND(W13=0,W14=0),AND(V13=0,V14=0),AND(W13&lt;25,W14&lt;25),AND(V13&lt;25,V14&lt;25)),0,IF(AND(X13=25,X13-X14&gt;=2),1,IF(X13-X14=2,IF(X13&lt;25,0,1),0))))+IF(OR(Y13="",Y14="",X13="",X14="",W13="",W14="",V13="",V14=""),0,IF(OR(AND(W13=0,W14=0),AND(V13=0,V14=0),AND(X13=0,X14=0),AND(W13&lt;25,W14&lt;25),AND(V13&lt;25,V14&lt;25),AND(X13&lt;25,X14&lt;25)),0,IF(AND(Y13=25,Y13-Y14&gt;=2),1,IF(Y13-Y14=2,IF(Y13&lt;25,0,1),0))))+IF(OR(Z13="",Z14="",Y13="",Y14="",X13="",X14="",W13="",W14="",V13="",V14=""),0,IF(OR(AND(W13=0,W14=0),AND(V13=0,V14=0),AND(X13=0,X14=0),AND(Y13=0,Y14=0),AND(W13&lt;25,W14&lt;25),AND(V13&lt;25,V14&lt;25),AND(X13&lt;25,X14&lt;25),AND(Y13&lt;25,Y14&lt;25)),0,IF(AND(Z13=15,Z13-Z14&gt;=2),1,IF(Z13-Z14=2,IF(Z13&lt;25,0,1),0))))</f>
        <v>0</v>
      </c>
      <c r="V13" s="8"/>
      <c r="W13" s="8"/>
      <c r="X13" s="8"/>
      <c r="Y13" s="8"/>
      <c r="Z13" s="9"/>
      <c r="AA13" s="14">
        <f>IF(U13-U14&gt;=2,3,IF(U13-U14=1,2,IF(U13-U14=-1,1,0)))</f>
        <v>0</v>
      </c>
      <c r="AB13" s="12"/>
      <c r="AC13" s="167">
        <v>2</v>
      </c>
      <c r="AD13" s="163">
        <f>VLOOKUP(AC13,ГрупаС,2)</f>
        <v>44806</v>
      </c>
      <c r="AE13" s="165">
        <f>VLOOKUP(AC13,ГрупаС,4)</f>
        <v>0.8125</v>
      </c>
      <c r="AF13" s="99" t="str">
        <f>VLOOKUP(AC13,ГрупаС,6)</f>
        <v>Мексико</v>
      </c>
      <c r="AG13" s="99"/>
      <c r="AH13" s="26">
        <f>IF(OR(AI13="",AI14=""),0,IF(AND(AI13=25,AI13-AI14&gt;=2),1,IF(AI13-AI14=2,IF(AI13&lt;25,0,1),0)))+IF(OR(AJ13="",AJ14="",AI13="",AI14=""),0,IF(OR(AND(AI13=0,AI14=0),AND(AI13&lt;25,AI14&lt;25)),0,IF(AND(AJ13=25,AJ13-AJ14&gt;=2),1,IF(AJ13-AJ14=2,IF(AJ13&lt;25,0,1),0))))+IF(OR(AK13="",AK14="",AJ13="",AJ14="",AI13="",AI14=""),0,IF(OR(AND(AJ13=0,AJ14=0),AND(AI13=0,AI14=0),AND(AJ13&lt;25,AJ14&lt;25),AND(AI13&lt;25,AI14&lt;25)),0,IF(AND(AK13=25,AK13-AK14&gt;=2),1,IF(AK13-AK14=2,IF(AK13&lt;25,0,1),0))))+IF(OR(AL13="",AL14="",AK13="",AK14="",AJ13="",AJ14="",AI13="",AI14=""),0,IF(OR(AND(AJ13=0,AJ14=0),AND(AI13=0,AI14=0),AND(AK13=0,AK14=0),AND(AJ13&lt;25,AJ14&lt;25),AND(AI13&lt;25,AI14&lt;25),AND(AK13&lt;25,AK14&lt;25)),0,IF(AND(AL13=25,AL13-AL14&gt;=2),1,IF(AL13-AL14=2,IF(AL13&lt;25,0,1),0))))+IF(OR(AM13="",AM14="",AL13="",AL14="",AK13="",AK14="",AJ13="",AJ14="",AI13="",AI14=""),0,IF(OR(AND(AJ13=0,AJ14=0),AND(AI13=0,AI14=0),AND(AK13=0,AK14=0),AND(AL13=0,AL14=0),AND(AJ13&lt;25,AJ14&lt;25),AND(AI13&lt;25,AI14&lt;25),AND(AK13&lt;25,AK14&lt;25),AND(AL13&lt;25,AL14&lt;25)),0,IF(AND(AM13=15,AM13-AM14&gt;=2),1,IF(AM13-AM14=2,IF(AM13&lt;25,0,1),0))))</f>
        <v>0</v>
      </c>
      <c r="AI13" s="8"/>
      <c r="AJ13" s="8"/>
      <c r="AK13" s="8"/>
      <c r="AL13" s="8"/>
      <c r="AM13" s="9"/>
      <c r="AN13" s="14">
        <f>IF(AH13-AH14&gt;=2,3,IF(AH13-AH14=1,2,IF(AH13-AH14=-1,1,0)))</f>
        <v>0</v>
      </c>
      <c r="AO13" s="12"/>
      <c r="AP13" s="167">
        <v>2</v>
      </c>
      <c r="AQ13" s="163">
        <f>VLOOKUP(AP13,ГрупаD,2)</f>
        <v>44806</v>
      </c>
      <c r="AR13" s="165">
        <f>VLOOKUP(AP13,ГрупаD,4)</f>
        <v>0.8125</v>
      </c>
      <c r="AS13" s="99" t="str">
        <f>VLOOKUP(AP13,ГрупаD,6)</f>
        <v>Германия</v>
      </c>
      <c r="AT13" s="99"/>
      <c r="AU13" s="26">
        <f>IF(OR(AV13="",AV14=""),0,IF(AND(AV13=25,AV13-AV14&gt;=2),1,IF(AV13-AV14=2,IF(AV13&lt;25,0,1),0)))+IF(OR(AW13="",AW14="",AV13="",AV14=""),0,IF(OR(AND(AV13=0,AV14=0),AND(AV13&lt;25,AV14&lt;25)),0,IF(AND(AW13=25,AW13-AW14&gt;=2),1,IF(AW13-AW14=2,IF(AW13&lt;25,0,1),0))))+IF(OR(AX13="",AX14="",AW13="",AW14="",AV13="",AV14=""),0,IF(OR(AND(AW13=0,AW14=0),AND(AV13=0,AV14=0),AND(AW13&lt;25,AW14&lt;25),AND(AV13&lt;25,AV14&lt;25)),0,IF(AND(AX13=25,AX13-AX14&gt;=2),1,IF(AX13-AX14=2,IF(AX13&lt;25,0,1),0))))+IF(OR(AY13="",AY14="",AX13="",AX14="",AW13="",AW14="",AV13="",AV14=""),0,IF(OR(AND(AW13=0,AW14=0),AND(AV13=0,AV14=0),AND(AX13=0,AX14=0),AND(AW13&lt;25,AW14&lt;25),AND(AV13&lt;25,AV14&lt;25),AND(AX13&lt;25,AX14&lt;25)),0,IF(AND(AY13=25,AY13-AY14&gt;=2),1,IF(AY13-AY14=2,IF(AY13&lt;25,0,1),0))))+IF(OR(AZ13="",AZ14="",AY13="",AY14="",AX13="",AX14="",AW13="",AW14="",AV13="",AV14=""),0,IF(OR(AND(AW13=0,AW14=0),AND(AV13=0,AV14=0),AND(AX13=0,AX14=0),AND(AY13=0,AY14=0),AND(AW13&lt;25,AW14&lt;25),AND(AV13&lt;25,AV14&lt;25),AND(AX13&lt;25,AX14&lt;25),AND(AY13&lt;25,AY14&lt;25)),0,IF(AND(AZ13=15,AZ13-AZ14&gt;=2),1,IF(AZ13-AZ14=2,IF(AZ13&lt;25,0,1),0))))</f>
        <v>0</v>
      </c>
      <c r="AV13" s="8"/>
      <c r="AW13" s="8"/>
      <c r="AX13" s="8"/>
      <c r="AY13" s="8"/>
      <c r="AZ13" s="9"/>
      <c r="BA13" s="14">
        <f>IF(AU13-AU14&gt;=2,3,IF(AU13-AU14=1,2,IF(AU13-AU14=-1,1,0)))</f>
        <v>0</v>
      </c>
      <c r="BB13" s="12"/>
    </row>
    <row r="14" spans="1:54" ht="15" customHeight="1" thickBot="1" x14ac:dyDescent="0.3">
      <c r="B14" s="12"/>
      <c r="C14" s="168"/>
      <c r="D14" s="164"/>
      <c r="E14" s="166"/>
      <c r="F14" s="88" t="str">
        <f>VLOOKUP(C13,ГрупаА,8)</f>
        <v>Пуерто Рико</v>
      </c>
      <c r="G14" s="88"/>
      <c r="H14" s="32">
        <f>IF(OR(I13="",I14=""),0,IF(AND(I14=25,I14-I13&gt;=2),1,IF(I14-I13=2,IF(I14&lt;25,0,1),0)))+IF(OR(J13="",J14="",I13="",I14=""),0,IF(OR(AND(I13=0,I14=0),AND(I13&lt;25,I14&lt;25)),0,IF(AND(J14=25,J14-J13&gt;=2),1,IF(J14-J13=2,IF(J14&lt;25,0,1),0))))+IF(OR(K13="",K14="",J13="",J14="",I13="",I14=""),0,IF(OR(AND(J13=0,J14=0),AND(I13=0,I14=0),AND(J13&lt;25,J14&lt;25),AND(I13&lt;25,I14&lt;25)),0,IF(AND(K14=25,K14-K13&gt;=2),1,IF(K14-K13=2,IF(K14&lt;25,0,1),0))))+IF(OR(L13="",L14="",K13="",K14="",J13="",J14="",I13="",I14=""),0,IF(OR(AND(J13=0,J14=0),AND(I13=0,I14=0),AND(K13=0,K14=0),AND(J13&lt;25,J14&lt;25),AND(I13&lt;25,I14&lt;25),AND(K13&lt;25,K14&lt;25)),0,IF(AND(L14=25,L14-L13&gt;=2),1,IF(L14-L13=2,IF(L14&lt;25,0,1),0))))+IF(OR(M13="",M14="",L13="",L14="",K13="",K14="",J13="",J14="",I13="",I14=""),0,IF(OR(AND(J13=0,J14=0),AND(I13=0,I14=0),AND(K13=0,K14=0),AND(L13=0,L14=0),AND(J13&lt;25,J14&lt;25),AND(I13&lt;25,I14&lt;25),AND(K13&lt;25,K14&lt;25),AND(L13&lt;25,L14&lt;25)),0,IF(AND(M14=15,M14-M13&gt;=2),1,IF(M14-M13=2,IF(M14&lt;25,0,1),0))))</f>
        <v>0</v>
      </c>
      <c r="I14" s="10"/>
      <c r="J14" s="10"/>
      <c r="K14" s="10"/>
      <c r="L14" s="10"/>
      <c r="M14" s="11"/>
      <c r="N14" s="14">
        <f>IF(H14-H13&gt;=2,3,IF(H14-H13=1,2,IF(H14-H13=-1,1,0)))</f>
        <v>0</v>
      </c>
      <c r="O14" s="12"/>
      <c r="P14" s="168"/>
      <c r="Q14" s="164"/>
      <c r="R14" s="166"/>
      <c r="S14" s="88" t="str">
        <f>VLOOKUP(P13,ГрупаB,8)</f>
        <v>Катар</v>
      </c>
      <c r="T14" s="88"/>
      <c r="U14" s="32">
        <f>IF(OR(V13="",V14=""),0,IF(AND(V14=25,V14-V13&gt;=2),1,IF(V14-V13=2,IF(V14&lt;25,0,1),0)))+IF(OR(W13="",W14="",V13="",V14=""),0,IF(OR(AND(V13=0,V14=0),AND(V13&lt;25,V14&lt;25)),0,IF(AND(W14=25,W14-W13&gt;=2),1,IF(W14-W13=2,IF(W14&lt;25,0,1),0))))+IF(OR(X13="",X14="",W13="",W14="",V13="",V14=""),0,IF(OR(AND(W13=0,W14=0),AND(V13=0,V14=0),AND(W13&lt;25,W14&lt;25),AND(V13&lt;25,V14&lt;25)),0,IF(AND(X14=25,X14-X13&gt;=2),1,IF(X14-X13=2,IF(X14&lt;25,0,1),0))))+IF(OR(Y13="",Y14="",X13="",X14="",W13="",W14="",V13="",V14=""),0,IF(OR(AND(W13=0,W14=0),AND(V13=0,V14=0),AND(X13=0,X14=0),AND(W13&lt;25,W14&lt;25),AND(V13&lt;25,V14&lt;25),AND(X13&lt;25,X14&lt;25)),0,IF(AND(Y14=25,Y14-Y13&gt;=2),1,IF(Y14-Y13=2,IF(Y14&lt;25,0,1),0))))+IF(OR(Z13="",Z14="",Y13="",Y14="",X13="",X14="",W13="",W14="",V13="",V14=""),0,IF(OR(AND(W13=0,W14=0),AND(V13=0,V14=0),AND(X13=0,X14=0),AND(Y13=0,Y14=0),AND(W13&lt;25,W14&lt;25),AND(V13&lt;25,V14&lt;25),AND(X13&lt;25,X14&lt;25),AND(Y13&lt;25,Y14&lt;25)),0,IF(AND(Z14=15,Z14-Z13&gt;=2),1,IF(Z14-Z13=2,IF(Z14&lt;25,0,1),0))))</f>
        <v>0</v>
      </c>
      <c r="V14" s="10"/>
      <c r="W14" s="10"/>
      <c r="X14" s="10"/>
      <c r="Y14" s="10"/>
      <c r="Z14" s="11"/>
      <c r="AA14" s="14">
        <f>IF(U14-U13&gt;=2,3,IF(U14-U13=1,2,IF(U14-U13=-1,1,0)))</f>
        <v>0</v>
      </c>
      <c r="AB14" s="12"/>
      <c r="AC14" s="168"/>
      <c r="AD14" s="164"/>
      <c r="AE14" s="166"/>
      <c r="AF14" s="88" t="str">
        <f>VLOOKUP(AC13,ГрупаС,8)</f>
        <v>България</v>
      </c>
      <c r="AG14" s="88"/>
      <c r="AH14" s="32">
        <f>IF(OR(AI13="",AI14=""),0,IF(AND(AI14=25,AI14-AI13&gt;=2),1,IF(AI14-AI13=2,IF(AI14&lt;25,0,1),0)))+IF(OR(AJ13="",AJ14="",AI13="",AI14=""),0,IF(OR(AND(AI13=0,AI14=0),AND(AI13&lt;25,AI14&lt;25)),0,IF(AND(AJ14=25,AJ14-AJ13&gt;=2),1,IF(AJ14-AJ13=2,IF(AJ14&lt;25,0,1),0))))+IF(OR(AK13="",AK14="",AJ13="",AJ14="",AI13="",AI14=""),0,IF(OR(AND(AJ13=0,AJ14=0),AND(AI13=0,AI14=0),AND(AJ13&lt;25,AJ14&lt;25),AND(AI13&lt;25,AI14&lt;25)),0,IF(AND(AK14=25,AK14-AK13&gt;=2),1,IF(AK14-AK13=2,IF(AK14&lt;25,0,1),0))))+IF(OR(AL13="",AL14="",AK13="",AK14="",AJ13="",AJ14="",AI13="",AI14=""),0,IF(OR(AND(AJ13=0,AJ14=0),AND(AI13=0,AI14=0),AND(AK13=0,AK14=0),AND(AJ13&lt;25,AJ14&lt;25),AND(AI13&lt;25,AI14&lt;25),AND(AK13&lt;25,AK14&lt;25)),0,IF(AND(AL14=25,AL14-AL13&gt;=2),1,IF(AL14-AL13=2,IF(AL14&lt;25,0,1),0))))+IF(OR(AM13="",AM14="",AL13="",AL14="",AK13="",AK14="",AJ13="",AJ14="",AI13="",AI14=""),0,IF(OR(AND(AJ13=0,AJ14=0),AND(AI13=0,AI14=0),AND(AK13=0,AK14=0),AND(AL13=0,AL14=0),AND(AJ13&lt;25,AJ14&lt;25),AND(AI13&lt;25,AI14&lt;25),AND(AK13&lt;25,AK14&lt;25),AND(AL13&lt;25,AL14&lt;25)),0,IF(AND(AM14=15,AM14-AM13&gt;=2),1,IF(AM14-AM13=2,IF(AM14&lt;25,0,1),0))))</f>
        <v>0</v>
      </c>
      <c r="AI14" s="10"/>
      <c r="AJ14" s="10"/>
      <c r="AK14" s="10"/>
      <c r="AL14" s="10"/>
      <c r="AM14" s="11"/>
      <c r="AN14" s="14">
        <f>IF(AH14-AH13&gt;=2,3,IF(AH14-AH13=1,2,IF(AH14-AH13=-1,1,0)))</f>
        <v>0</v>
      </c>
      <c r="AO14" s="12"/>
      <c r="AP14" s="168"/>
      <c r="AQ14" s="164"/>
      <c r="AR14" s="166"/>
      <c r="AS14" s="88" t="str">
        <f>VLOOKUP(AP13,ГрупаD,8)</f>
        <v>Камерун</v>
      </c>
      <c r="AT14" s="88"/>
      <c r="AU14" s="32">
        <f>IF(OR(AV13="",AV14=""),0,IF(AND(AV14=25,AV14-AV13&gt;=2),1,IF(AV14-AV13=2,IF(AV14&lt;25,0,1),0)))+IF(OR(AW13="",AW14="",AV13="",AV14=""),0,IF(OR(AND(AV13=0,AV14=0),AND(AV13&lt;25,AV14&lt;25)),0,IF(AND(AW14=25,AW14-AW13&gt;=2),1,IF(AW14-AW13=2,IF(AW14&lt;25,0,1),0))))+IF(OR(AX13="",AX14="",AW13="",AW14="",AV13="",AV14=""),0,IF(OR(AND(AW13=0,AW14=0),AND(AV13=0,AV14=0),AND(AW13&lt;25,AW14&lt;25),AND(AV13&lt;25,AV14&lt;25)),0,IF(AND(AX14=25,AX14-AX13&gt;=2),1,IF(AX14-AX13=2,IF(AX14&lt;25,0,1),0))))+IF(OR(AY13="",AY14="",AX13="",AX14="",AW13="",AW14="",AV13="",AV14=""),0,IF(OR(AND(AW13=0,AW14=0),AND(AV13=0,AV14=0),AND(AX13=0,AX14=0),AND(AW13&lt;25,AW14&lt;25),AND(AV13&lt;25,AV14&lt;25),AND(AX13&lt;25,AX14&lt;25)),0,IF(AND(AY14=25,AY14-AY13&gt;=2),1,IF(AY14-AY13=2,IF(AY14&lt;25,0,1),0))))+IF(OR(AZ13="",AZ14="",AY13="",AY14="",AX13="",AX14="",AW13="",AW14="",AV13="",AV14=""),0,IF(OR(AND(AW13=0,AW14=0),AND(AV13=0,AV14=0),AND(AX13=0,AX14=0),AND(AY13=0,AY14=0),AND(AW13&lt;25,AW14&lt;25),AND(AV13&lt;25,AV14&lt;25),AND(AX13&lt;25,AX14&lt;25),AND(AY13&lt;25,AY14&lt;25)),0,IF(AND(AZ14=15,AZ14-AZ13&gt;=2),1,IF(AZ14-AZ13=2,IF(AZ14&lt;25,0,1),0))))</f>
        <v>0</v>
      </c>
      <c r="AV14" s="10"/>
      <c r="AW14" s="10"/>
      <c r="AX14" s="10"/>
      <c r="AY14" s="10"/>
      <c r="AZ14" s="11"/>
      <c r="BA14" s="14">
        <f>IF(AU14-AU13&gt;=2,3,IF(AU14-AU13=1,2,IF(AU14-AU13=-1,1,0)))</f>
        <v>0</v>
      </c>
      <c r="BB14" s="12"/>
    </row>
    <row r="15" spans="1:54" ht="15.75" thickBot="1" x14ac:dyDescent="0.3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</row>
    <row r="16" spans="1:54" ht="15" customHeight="1" x14ac:dyDescent="0.25">
      <c r="B16" s="12"/>
      <c r="C16" s="58" t="s">
        <v>20</v>
      </c>
      <c r="D16" s="59" t="s">
        <v>21</v>
      </c>
      <c r="E16" s="59" t="s">
        <v>22</v>
      </c>
      <c r="F16" s="84" t="s">
        <v>23</v>
      </c>
      <c r="G16" s="84"/>
      <c r="H16" s="59" t="s">
        <v>11</v>
      </c>
      <c r="I16" s="59" t="s">
        <v>24</v>
      </c>
      <c r="J16" s="59" t="s">
        <v>25</v>
      </c>
      <c r="K16" s="59" t="s">
        <v>26</v>
      </c>
      <c r="L16" s="59" t="s">
        <v>27</v>
      </c>
      <c r="M16" s="60" t="s">
        <v>28</v>
      </c>
      <c r="O16" s="12"/>
      <c r="P16" s="58" t="s">
        <v>20</v>
      </c>
      <c r="Q16" s="59" t="s">
        <v>21</v>
      </c>
      <c r="R16" s="59" t="s">
        <v>22</v>
      </c>
      <c r="S16" s="84" t="s">
        <v>23</v>
      </c>
      <c r="T16" s="84"/>
      <c r="U16" s="59" t="s">
        <v>11</v>
      </c>
      <c r="V16" s="59" t="s">
        <v>24</v>
      </c>
      <c r="W16" s="59" t="s">
        <v>25</v>
      </c>
      <c r="X16" s="59" t="s">
        <v>26</v>
      </c>
      <c r="Y16" s="59" t="s">
        <v>27</v>
      </c>
      <c r="Z16" s="60" t="s">
        <v>28</v>
      </c>
      <c r="AB16" s="12"/>
      <c r="AC16" s="58" t="s">
        <v>20</v>
      </c>
      <c r="AD16" s="59" t="s">
        <v>21</v>
      </c>
      <c r="AE16" s="59" t="s">
        <v>22</v>
      </c>
      <c r="AF16" s="84" t="s">
        <v>23</v>
      </c>
      <c r="AG16" s="84"/>
      <c r="AH16" s="59" t="s">
        <v>11</v>
      </c>
      <c r="AI16" s="59" t="s">
        <v>24</v>
      </c>
      <c r="AJ16" s="59" t="s">
        <v>25</v>
      </c>
      <c r="AK16" s="59" t="s">
        <v>26</v>
      </c>
      <c r="AL16" s="59" t="s">
        <v>27</v>
      </c>
      <c r="AM16" s="60" t="s">
        <v>28</v>
      </c>
      <c r="AO16" s="12"/>
      <c r="AP16" s="58" t="s">
        <v>20</v>
      </c>
      <c r="AQ16" s="59" t="s">
        <v>21</v>
      </c>
      <c r="AR16" s="59" t="s">
        <v>22</v>
      </c>
      <c r="AS16" s="84" t="s">
        <v>23</v>
      </c>
      <c r="AT16" s="84"/>
      <c r="AU16" s="59" t="s">
        <v>11</v>
      </c>
      <c r="AV16" s="59" t="s">
        <v>24</v>
      </c>
      <c r="AW16" s="59" t="s">
        <v>25</v>
      </c>
      <c r="AX16" s="59" t="s">
        <v>26</v>
      </c>
      <c r="AY16" s="59" t="s">
        <v>27</v>
      </c>
      <c r="AZ16" s="60" t="s">
        <v>28</v>
      </c>
      <c r="BB16" s="12"/>
    </row>
    <row r="17" spans="2:54" ht="15" customHeight="1" x14ac:dyDescent="0.25">
      <c r="B17" s="12"/>
      <c r="C17" s="167">
        <v>3</v>
      </c>
      <c r="D17" s="163">
        <f>VLOOKUP(C17,ГрупаА,2)</f>
        <v>44802</v>
      </c>
      <c r="E17" s="165">
        <f>VLOOKUP(C17,ГрупаА,4)</f>
        <v>0.85416666666666696</v>
      </c>
      <c r="F17" s="99" t="str">
        <f>VLOOKUP(C17,ГрупаА,6)</f>
        <v>Украйна</v>
      </c>
      <c r="G17" s="99"/>
      <c r="H17" s="26">
        <f>IF(OR(I17="",I18=""),0,IF(AND(I17=25,I17-I18&gt;=2),1,IF(I17-I18=2,IF(I17&lt;25,0,1),0)))+IF(OR(J17="",J18="",I17="",I18=""),0,IF(OR(AND(I17=0,I18=0),AND(I17&lt;25,I18&lt;25)),0,IF(AND(J17=25,J17-J18&gt;=2),1,IF(J17-J18=2,IF(J17&lt;25,0,1),0))))+IF(OR(K17="",K18="",J17="",J18="",I17="",I18=""),0,IF(OR(AND(J17=0,J18=0),AND(I17=0,I18=0),AND(J17&lt;25,J18&lt;25),AND(I17&lt;25,I18&lt;25)),0,IF(AND(K17=25,K17-K18&gt;=2),1,IF(K17-K18=2,IF(K17&lt;25,0,1),0))))+IF(OR(L17="",L18="",K17="",K18="",J17="",J18="",I17="",I18=""),0,IF(OR(AND(J17=0,J18=0),AND(I17=0,I18=0),AND(K17=0,K18=0),AND(J17&lt;25,J18&lt;25),AND(I17&lt;25,I18&lt;25),AND(K17&lt;25,K18&lt;25)),0,IF(AND(L17=25,L17-L18&gt;=2),1,IF(L17-L18=2,IF(L17&lt;25,0,1),0))))+IF(OR(M17="",M18="",L17="",L18="",K17="",K18="",J17="",J18="",I17="",I18=""),0,IF(OR(AND(J17=0,J18=0),AND(I17=0,I18=0),AND(K17=0,K18=0),AND(L17=0,L18=0),AND(J17&lt;25,J18&lt;25),AND(I17&lt;25,I18&lt;25),AND(K17&lt;25,K18&lt;25),AND(L17&lt;25,L18&lt;25)),0,IF(AND(M17=15,M17-M18&gt;=2),1,IF(M17-M18=2,IF(M17&lt;25,0,1),0))))</f>
        <v>0</v>
      </c>
      <c r="I17" s="8"/>
      <c r="J17" s="8"/>
      <c r="K17" s="8"/>
      <c r="L17" s="8"/>
      <c r="M17" s="9"/>
      <c r="N17" s="14">
        <f>IF(H17-H18&gt;=2,3,IF(H17-H18=1,2,IF(H17-H18=-1,1,0)))</f>
        <v>0</v>
      </c>
      <c r="O17" s="12"/>
      <c r="P17" s="167">
        <v>3</v>
      </c>
      <c r="Q17" s="163">
        <f>VLOOKUP(P17,ГрупаB,2)</f>
        <v>44802</v>
      </c>
      <c r="R17" s="165">
        <f>VLOOKUP(P17,ГрупаB,4)</f>
        <v>0.85416666666666696</v>
      </c>
      <c r="S17" s="99" t="str">
        <f>VLOOKUP(P17,ГрупаB,6)</f>
        <v>Япония</v>
      </c>
      <c r="T17" s="99"/>
      <c r="U17" s="26">
        <f>IF(OR(V17="",V18=""),0,IF(AND(V17=25,V17-V18&gt;=2),1,IF(V17-V18=2,IF(V17&lt;25,0,1),0)))+IF(OR(W17="",W18="",V17="",V18=""),0,IF(OR(AND(V17=0,V18=0),AND(V17&lt;25,V18&lt;25)),0,IF(AND(W17=25,W17-W18&gt;=2),1,IF(W17-W18=2,IF(W17&lt;25,0,1),0))))+IF(OR(X17="",X18="",W17="",W18="",V17="",V18=""),0,IF(OR(AND(W17=0,W18=0),AND(V17=0,V18=0),AND(W17&lt;25,W18&lt;25),AND(V17&lt;25,V18&lt;25)),0,IF(AND(X17=25,X17-X18&gt;=2),1,IF(X17-X18=2,IF(X17&lt;25,0,1),0))))+IF(OR(Y17="",Y18="",X17="",X18="",W17="",W18="",V17="",V18=""),0,IF(OR(AND(W17=0,W18=0),AND(V17=0,V18=0),AND(X17=0,X18=0),AND(W17&lt;25,W18&lt;25),AND(V17&lt;25,V18&lt;25),AND(X17&lt;25,X18&lt;25)),0,IF(AND(Y17=25,Y17-Y18&gt;=2),1,IF(Y17-Y18=2,IF(Y17&lt;25,0,1),0))))+IF(OR(Z17="",Z18="",Y17="",Y18="",X17="",X18="",W17="",W18="",V17="",V18=""),0,IF(OR(AND(W17=0,W18=0),AND(V17=0,V18=0),AND(X17=0,X18=0),AND(Y17=0,Y18=0),AND(W17&lt;25,W18&lt;25),AND(V17&lt;25,V18&lt;25),AND(X17&lt;25,X18&lt;25),AND(Y17&lt;25,Y18&lt;25)),0,IF(AND(Z17=15,Z17-Z18&gt;=2),1,IF(Z17-Z18=2,IF(Z17&lt;25,0,1),0))))</f>
        <v>0</v>
      </c>
      <c r="V17" s="8"/>
      <c r="W17" s="8"/>
      <c r="X17" s="8"/>
      <c r="Y17" s="8"/>
      <c r="Z17" s="9"/>
      <c r="AA17" s="14">
        <f>IF(U17-U18&gt;=2,3,IF(U17-U18=1,2,IF(U17-U18=-1,1,0)))</f>
        <v>0</v>
      </c>
      <c r="AB17" s="12"/>
      <c r="AC17" s="167">
        <v>3</v>
      </c>
      <c r="AD17" s="163">
        <f>VLOOKUP(AC17,ГрупаС,2)</f>
        <v>44807</v>
      </c>
      <c r="AE17" s="165">
        <f>VLOOKUP(AC17,ГрупаС,4)</f>
        <v>0.85416666666666696</v>
      </c>
      <c r="AF17" s="99" t="str">
        <f>VLOOKUP(AC17,ГрупаС,6)</f>
        <v xml:space="preserve">САЩ </v>
      </c>
      <c r="AG17" s="99"/>
      <c r="AH17" s="26">
        <f>IF(OR(AI17="",AI18=""),0,IF(AND(AI17=25,AI17-AI18&gt;=2),1,IF(AI17-AI18=2,IF(AI17&lt;25,0,1),0)))+IF(OR(AJ17="",AJ18="",AI17="",AI18=""),0,IF(OR(AND(AI17=0,AI18=0),AND(AI17&lt;25,AI18&lt;25)),0,IF(AND(AJ17=25,AJ17-AJ18&gt;=2),1,IF(AJ17-AJ18=2,IF(AJ17&lt;25,0,1),0))))+IF(OR(AK17="",AK18="",AJ17="",AJ18="",AI17="",AI18=""),0,IF(OR(AND(AJ17=0,AJ18=0),AND(AI17=0,AI18=0),AND(AJ17&lt;25,AJ18&lt;25),AND(AI17&lt;25,AI18&lt;25)),0,IF(AND(AK17=25,AK17-AK18&gt;=2),1,IF(AK17-AK18=2,IF(AK17&lt;25,0,1),0))))+IF(OR(AL17="",AL18="",AK17="",AK18="",AJ17="",AJ18="",AI17="",AI18=""),0,IF(OR(AND(AJ17=0,AJ18=0),AND(AI17=0,AI18=0),AND(AK17=0,AK18=0),AND(AJ17&lt;25,AJ18&lt;25),AND(AI17&lt;25,AI18&lt;25),AND(AK17&lt;25,AK18&lt;25)),0,IF(AND(AL17=25,AL17-AL18&gt;=2),1,IF(AL17-AL18=2,IF(AL17&lt;25,0,1),0))))+IF(OR(AM17="",AM18="",AL17="",AL18="",AK17="",AK18="",AJ17="",AJ18="",AI17="",AI18=""),0,IF(OR(AND(AJ17=0,AJ18=0),AND(AI17=0,AI18=0),AND(AK17=0,AK18=0),AND(AL17=0,AL18=0),AND(AJ17&lt;25,AJ18&lt;25),AND(AI17&lt;25,AI18&lt;25),AND(AK17&lt;25,AK18&lt;25),AND(AL17&lt;25,AL18&lt;25)),0,IF(AND(AM17=15,AM17-AM18&gt;=2),1,IF(AM17-AM18=2,IF(AM17&lt;25,0,1),0))))</f>
        <v>0</v>
      </c>
      <c r="AI17" s="8"/>
      <c r="AJ17" s="8"/>
      <c r="AK17" s="8"/>
      <c r="AL17" s="8"/>
      <c r="AM17" s="9"/>
      <c r="AN17" s="14">
        <f>IF(AH17-AH18&gt;=2,3,IF(AH17-AH18=1,2,IF(AH17-AH18=-1,1,0)))</f>
        <v>0</v>
      </c>
      <c r="AO17" s="12"/>
      <c r="AP17" s="167">
        <v>3</v>
      </c>
      <c r="AQ17" s="163">
        <f>VLOOKUP(AP17,ГрупаD,2)</f>
        <v>44807</v>
      </c>
      <c r="AR17" s="165">
        <f>VLOOKUP(AP17,ГрупаD,4)</f>
        <v>0.85416666666666696</v>
      </c>
      <c r="AS17" s="99" t="str">
        <f>VLOOKUP(AP17,ГрупаD,6)</f>
        <v>Словения</v>
      </c>
      <c r="AT17" s="99"/>
      <c r="AU17" s="26">
        <f>IF(OR(AV17="",AV18=""),0,IF(AND(AV17=25,AV17-AV18&gt;=2),1,IF(AV17-AV18=2,IF(AV17&lt;25,0,1),0)))+IF(OR(AW17="",AW18="",AV17="",AV18=""),0,IF(OR(AND(AV17=0,AV18=0),AND(AV17&lt;25,AV18&lt;25)),0,IF(AND(AW17=25,AW17-AW18&gt;=2),1,IF(AW17-AW18=2,IF(AW17&lt;25,0,1),0))))+IF(OR(AX17="",AX18="",AW17="",AW18="",AV17="",AV18=""),0,IF(OR(AND(AW17=0,AW18=0),AND(AV17=0,AV18=0),AND(AW17&lt;25,AW18&lt;25),AND(AV17&lt;25,AV18&lt;25)),0,IF(AND(AX17=25,AX17-AX18&gt;=2),1,IF(AX17-AX18=2,IF(AX17&lt;25,0,1),0))))+IF(OR(AY17="",AY18="",AX17="",AX18="",AW17="",AW18="",AV17="",AV18=""),0,IF(OR(AND(AW17=0,AW18=0),AND(AV17=0,AV18=0),AND(AX17=0,AX18=0),AND(AW17&lt;25,AW18&lt;25),AND(AV17&lt;25,AV18&lt;25),AND(AX17&lt;25,AX18&lt;25)),0,IF(AND(AY17=25,AY17-AY18&gt;=2),1,IF(AY17-AY18=2,IF(AY17&lt;25,0,1),0))))+IF(OR(AZ17="",AZ18="",AY17="",AY18="",AX17="",AX18="",AW17="",AW18="",AV17="",AV18=""),0,IF(OR(AND(AW17=0,AW18=0),AND(AV17=0,AV18=0),AND(AX17=0,AX18=0),AND(AY17=0,AY18=0),AND(AW17&lt;25,AW18&lt;25),AND(AV17&lt;25,AV18&lt;25),AND(AX17&lt;25,AX18&lt;25),AND(AY17&lt;25,AY18&lt;25)),0,IF(AND(AZ17=15,AZ17-AZ18&gt;=2),1,IF(AZ17-AZ18=2,IF(AZ17&lt;25,0,1),0))))</f>
        <v>0</v>
      </c>
      <c r="AV17" s="8"/>
      <c r="AW17" s="8"/>
      <c r="AX17" s="8"/>
      <c r="AY17" s="8"/>
      <c r="AZ17" s="9"/>
      <c r="BA17" s="14">
        <f>IF(AU17-AU18&gt;=2,3,IF(AU17-AU18=1,2,IF(AU17-AU18=-1,1,0)))</f>
        <v>0</v>
      </c>
      <c r="BB17" s="12"/>
    </row>
    <row r="18" spans="2:54" ht="15" customHeight="1" thickBot="1" x14ac:dyDescent="0.3">
      <c r="B18" s="12"/>
      <c r="C18" s="168"/>
      <c r="D18" s="164"/>
      <c r="E18" s="166"/>
      <c r="F18" s="88" t="str">
        <f>VLOOKUP(C17,ГрупаА,8)</f>
        <v>Пуерто Рико</v>
      </c>
      <c r="G18" s="88"/>
      <c r="H18" s="32">
        <f>IF(OR(I17="",I18=""),0,IF(AND(I18=25,I18-I17&gt;=2),1,IF(I18-I17=2,IF(I18&lt;25,0,1),0)))+IF(OR(J17="",J18="",I17="",I18=""),0,IF(OR(AND(I17=0,I18=0),AND(I17&lt;25,I18&lt;25)),0,IF(AND(J18=25,J18-J17&gt;=2),1,IF(J18-J17=2,IF(J18&lt;25,0,1),0))))+IF(OR(K17="",K18="",J17="",J18="",I17="",I18=""),0,IF(OR(AND(J17=0,J18=0),AND(I17=0,I18=0),AND(J17&lt;25,J18&lt;25),AND(I17&lt;25,I18&lt;25)),0,IF(AND(K18=25,K18-K17&gt;=2),1,IF(K18-K17=2,IF(K18&lt;25,0,1),0))))+IF(OR(L17="",L18="",K17="",K18="",J17="",J18="",I17="",I18=""),0,IF(OR(AND(J17=0,J18=0),AND(I17=0,I18=0),AND(K17=0,K18=0),AND(J17&lt;25,J18&lt;25),AND(I17&lt;25,I18&lt;25),AND(K17&lt;25,K18&lt;25)),0,IF(AND(L18=25,L18-L17&gt;=2),1,IF(L18-L17=2,IF(L18&lt;25,0,1),0))))+IF(OR(M17="",M18="",L17="",L18="",K17="",K18="",J17="",J18="",I17="",I18=""),0,IF(OR(AND(J17=0,J18=0),AND(I17=0,I18=0),AND(K17=0,K18=0),AND(L17=0,L18=0),AND(J17&lt;25,J18&lt;25),AND(I17&lt;25,I18&lt;25),AND(K17&lt;25,K18&lt;25),AND(L17&lt;25,L18&lt;25)),0,IF(AND(M18=15,M18-M17&gt;=2),1,IF(M18-M17=2,IF(M18&lt;25,0,1),0))))</f>
        <v>0</v>
      </c>
      <c r="I18" s="10"/>
      <c r="J18" s="10"/>
      <c r="K18" s="10"/>
      <c r="L18" s="10"/>
      <c r="M18" s="11"/>
      <c r="N18" s="14">
        <f>IF(H18-H17&gt;=2,3,IF(H18-H17=1,2,IF(H18-H17=-1,1,0)))</f>
        <v>0</v>
      </c>
      <c r="O18" s="12"/>
      <c r="P18" s="168"/>
      <c r="Q18" s="164"/>
      <c r="R18" s="166"/>
      <c r="S18" s="88" t="str">
        <f>VLOOKUP(P17,ГрупаB,8)</f>
        <v>Катар</v>
      </c>
      <c r="T18" s="88"/>
      <c r="U18" s="32">
        <f>IF(OR(V17="",V18=""),0,IF(AND(V18=25,V18-V17&gt;=2),1,IF(V18-V17=2,IF(V18&lt;25,0,1),0)))+IF(OR(W17="",W18="",V17="",V18=""),0,IF(OR(AND(V17=0,V18=0),AND(V17&lt;25,V18&lt;25)),0,IF(AND(W18=25,W18-W17&gt;=2),1,IF(W18-W17=2,IF(W18&lt;25,0,1),0))))+IF(OR(X17="",X18="",W17="",W18="",V17="",V18=""),0,IF(OR(AND(W17=0,W18=0),AND(V17=0,V18=0),AND(W17&lt;25,W18&lt;25),AND(V17&lt;25,V18&lt;25)),0,IF(AND(X18=25,X18-X17&gt;=2),1,IF(X18-X17=2,IF(X18&lt;25,0,1),0))))+IF(OR(Y17="",Y18="",X17="",X18="",W17="",W18="",V17="",V18=""),0,IF(OR(AND(W17=0,W18=0),AND(V17=0,V18=0),AND(X17=0,X18=0),AND(W17&lt;25,W18&lt;25),AND(V17&lt;25,V18&lt;25),AND(X17&lt;25,X18&lt;25)),0,IF(AND(Y18=25,Y18-Y17&gt;=2),1,IF(Y18-Y17=2,IF(Y18&lt;25,0,1),0))))+IF(OR(Z17="",Z18="",Y17="",Y18="",X17="",X18="",W17="",W18="",V17="",V18=""),0,IF(OR(AND(W17=0,W18=0),AND(V17=0,V18=0),AND(X17=0,X18=0),AND(Y17=0,Y18=0),AND(W17&lt;25,W18&lt;25),AND(V17&lt;25,V18&lt;25),AND(X17&lt;25,X18&lt;25),AND(Y17&lt;25,Y18&lt;25)),0,IF(AND(Z18=15,Z18-Z17&gt;=2),1,IF(Z18-Z17=2,IF(Z18&lt;25,0,1),0))))</f>
        <v>0</v>
      </c>
      <c r="V18" s="10"/>
      <c r="W18" s="10"/>
      <c r="X18" s="10"/>
      <c r="Y18" s="10"/>
      <c r="Z18" s="11"/>
      <c r="AA18" s="14">
        <f>IF(U18-U17&gt;=2,3,IF(U18-U17=1,2,IF(U18-U17=-1,1,0)))</f>
        <v>0</v>
      </c>
      <c r="AB18" s="12"/>
      <c r="AC18" s="168"/>
      <c r="AD18" s="164"/>
      <c r="AE18" s="166"/>
      <c r="AF18" s="88" t="str">
        <f>VLOOKUP(AC17,ГрупаС,8)</f>
        <v>България</v>
      </c>
      <c r="AG18" s="88"/>
      <c r="AH18" s="32">
        <f>IF(OR(AI17="",AI18=""),0,IF(AND(AI18=25,AI18-AI17&gt;=2),1,IF(AI18-AI17=2,IF(AI18&lt;25,0,1),0)))+IF(OR(AJ17="",AJ18="",AI17="",AI18=""),0,IF(OR(AND(AI17=0,AI18=0),AND(AI17&lt;25,AI18&lt;25)),0,IF(AND(AJ18=25,AJ18-AJ17&gt;=2),1,IF(AJ18-AJ17=2,IF(AJ18&lt;25,0,1),0))))+IF(OR(AK17="",AK18="",AJ17="",AJ18="",AI17="",AI18=""),0,IF(OR(AND(AJ17=0,AJ18=0),AND(AI17=0,AI18=0),AND(AJ17&lt;25,AJ18&lt;25),AND(AI17&lt;25,AI18&lt;25)),0,IF(AND(AK18=25,AK18-AK17&gt;=2),1,IF(AK18-AK17=2,IF(AK18&lt;25,0,1),0))))+IF(OR(AL17="",AL18="",AK17="",AK18="",AJ17="",AJ18="",AI17="",AI18=""),0,IF(OR(AND(AJ17=0,AJ18=0),AND(AI17=0,AI18=0),AND(AK17=0,AK18=0),AND(AJ17&lt;25,AJ18&lt;25),AND(AI17&lt;25,AI18&lt;25),AND(AK17&lt;25,AK18&lt;25)),0,IF(AND(AL18=25,AL18-AL17&gt;=2),1,IF(AL18-AL17=2,IF(AL18&lt;25,0,1),0))))+IF(OR(AM17="",AM18="",AL17="",AL18="",AK17="",AK18="",AJ17="",AJ18="",AI17="",AI18=""),0,IF(OR(AND(AJ17=0,AJ18=0),AND(AI17=0,AI18=0),AND(AK17=0,AK18=0),AND(AL17=0,AL18=0),AND(AJ17&lt;25,AJ18&lt;25),AND(AI17&lt;25,AI18&lt;25),AND(AK17&lt;25,AK18&lt;25),AND(AL17&lt;25,AL18&lt;25)),0,IF(AND(AM18=15,AM18-AM17&gt;=2),1,IF(AM18-AM17=2,IF(AM18&lt;25,0,1),0))))</f>
        <v>0</v>
      </c>
      <c r="AI18" s="10"/>
      <c r="AJ18" s="10"/>
      <c r="AK18" s="10"/>
      <c r="AL18" s="10"/>
      <c r="AM18" s="11"/>
      <c r="AN18" s="14">
        <f>IF(AH18-AH17&gt;=2,3,IF(AH18-AH17=1,2,IF(AH18-AH17=-1,1,0)))</f>
        <v>0</v>
      </c>
      <c r="AO18" s="12"/>
      <c r="AP18" s="168"/>
      <c r="AQ18" s="164"/>
      <c r="AR18" s="166"/>
      <c r="AS18" s="88" t="str">
        <f>VLOOKUP(AP17,ГрупаD,8)</f>
        <v>Камерун</v>
      </c>
      <c r="AT18" s="88"/>
      <c r="AU18" s="32">
        <f>IF(OR(AV17="",AV18=""),0,IF(AND(AV18=25,AV18-AV17&gt;=2),1,IF(AV18-AV17=2,IF(AV18&lt;25,0,1),0)))+IF(OR(AW17="",AW18="",AV17="",AV18=""),0,IF(OR(AND(AV17=0,AV18=0),AND(AV17&lt;25,AV18&lt;25)),0,IF(AND(AW18=25,AW18-AW17&gt;=2),1,IF(AW18-AW17=2,IF(AW18&lt;25,0,1),0))))+IF(OR(AX17="",AX18="",AW17="",AW18="",AV17="",AV18=""),0,IF(OR(AND(AW17=0,AW18=0),AND(AV17=0,AV18=0),AND(AW17&lt;25,AW18&lt;25),AND(AV17&lt;25,AV18&lt;25)),0,IF(AND(AX18=25,AX18-AX17&gt;=2),1,IF(AX18-AX17=2,IF(AX18&lt;25,0,1),0))))+IF(OR(AY17="",AY18="",AX17="",AX18="",AW17="",AW18="",AV17="",AV18=""),0,IF(OR(AND(AW17=0,AW18=0),AND(AV17=0,AV18=0),AND(AX17=0,AX18=0),AND(AW17&lt;25,AW18&lt;25),AND(AV17&lt;25,AV18&lt;25),AND(AX17&lt;25,AX18&lt;25)),0,IF(AND(AY18=25,AY18-AY17&gt;=2),1,IF(AY18-AY17=2,IF(AY18&lt;25,0,1),0))))+IF(OR(AZ17="",AZ18="",AY17="",AY18="",AX17="",AX18="",AW17="",AW18="",AV17="",AV18=""),0,IF(OR(AND(AW17=0,AW18=0),AND(AV17=0,AV18=0),AND(AX17=0,AX18=0),AND(AY17=0,AY18=0),AND(AW17&lt;25,AW18&lt;25),AND(AV17&lt;25,AV18&lt;25),AND(AX17&lt;25,AX18&lt;25),AND(AY17&lt;25,AY18&lt;25)),0,IF(AND(AZ18=15,AZ18-AZ17&gt;=2),1,IF(AZ18-AZ17=2,IF(AZ18&lt;25,0,1),0))))</f>
        <v>0</v>
      </c>
      <c r="AV18" s="10"/>
      <c r="AW18" s="10"/>
      <c r="AX18" s="10"/>
      <c r="AY18" s="10"/>
      <c r="AZ18" s="11"/>
      <c r="BA18" s="14">
        <f>IF(AU18-AU17&gt;=2,3,IF(AU18-AU17=1,2,IF(AU18-AU17=-1,1,0)))</f>
        <v>0</v>
      </c>
      <c r="BB18" s="12"/>
    </row>
    <row r="19" spans="2:54" ht="15.75" thickBot="1" x14ac:dyDescent="0.3"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</row>
    <row r="20" spans="2:54" ht="15" customHeight="1" x14ac:dyDescent="0.25">
      <c r="B20" s="12"/>
      <c r="C20" s="58" t="s">
        <v>20</v>
      </c>
      <c r="D20" s="59" t="s">
        <v>21</v>
      </c>
      <c r="E20" s="59" t="s">
        <v>22</v>
      </c>
      <c r="F20" s="84" t="s">
        <v>23</v>
      </c>
      <c r="G20" s="84"/>
      <c r="H20" s="59" t="s">
        <v>11</v>
      </c>
      <c r="I20" s="59" t="s">
        <v>24</v>
      </c>
      <c r="J20" s="59" t="s">
        <v>25</v>
      </c>
      <c r="K20" s="59" t="s">
        <v>26</v>
      </c>
      <c r="L20" s="59" t="s">
        <v>27</v>
      </c>
      <c r="M20" s="60" t="s">
        <v>28</v>
      </c>
      <c r="O20" s="12"/>
      <c r="P20" s="58" t="s">
        <v>20</v>
      </c>
      <c r="Q20" s="59" t="s">
        <v>21</v>
      </c>
      <c r="R20" s="59" t="s">
        <v>22</v>
      </c>
      <c r="S20" s="84" t="s">
        <v>23</v>
      </c>
      <c r="T20" s="84"/>
      <c r="U20" s="59" t="s">
        <v>11</v>
      </c>
      <c r="V20" s="59" t="s">
        <v>24</v>
      </c>
      <c r="W20" s="59" t="s">
        <v>25</v>
      </c>
      <c r="X20" s="59" t="s">
        <v>26</v>
      </c>
      <c r="Y20" s="59" t="s">
        <v>27</v>
      </c>
      <c r="Z20" s="60" t="s">
        <v>28</v>
      </c>
      <c r="AB20" s="12"/>
      <c r="AC20" s="58" t="s">
        <v>20</v>
      </c>
      <c r="AD20" s="59" t="s">
        <v>21</v>
      </c>
      <c r="AE20" s="59" t="s">
        <v>22</v>
      </c>
      <c r="AF20" s="84" t="s">
        <v>23</v>
      </c>
      <c r="AG20" s="84"/>
      <c r="AH20" s="59" t="s">
        <v>11</v>
      </c>
      <c r="AI20" s="59" t="s">
        <v>24</v>
      </c>
      <c r="AJ20" s="59" t="s">
        <v>25</v>
      </c>
      <c r="AK20" s="59" t="s">
        <v>26</v>
      </c>
      <c r="AL20" s="59" t="s">
        <v>27</v>
      </c>
      <c r="AM20" s="60" t="s">
        <v>28</v>
      </c>
      <c r="AO20" s="12"/>
      <c r="AP20" s="58" t="s">
        <v>20</v>
      </c>
      <c r="AQ20" s="59" t="s">
        <v>21</v>
      </c>
      <c r="AR20" s="59" t="s">
        <v>22</v>
      </c>
      <c r="AS20" s="84" t="s">
        <v>23</v>
      </c>
      <c r="AT20" s="84"/>
      <c r="AU20" s="59" t="s">
        <v>11</v>
      </c>
      <c r="AV20" s="59" t="s">
        <v>24</v>
      </c>
      <c r="AW20" s="59" t="s">
        <v>25</v>
      </c>
      <c r="AX20" s="59" t="s">
        <v>26</v>
      </c>
      <c r="AY20" s="59" t="s">
        <v>27</v>
      </c>
      <c r="AZ20" s="60" t="s">
        <v>28</v>
      </c>
      <c r="BB20" s="12"/>
    </row>
    <row r="21" spans="2:54" ht="15" customHeight="1" x14ac:dyDescent="0.25">
      <c r="B21" s="12"/>
      <c r="C21" s="167">
        <v>4</v>
      </c>
      <c r="D21" s="163">
        <f>VLOOKUP(C21,ГрупаА,2)</f>
        <v>44803</v>
      </c>
      <c r="E21" s="165">
        <f>VLOOKUP(C21,ГрупаА,4)</f>
        <v>0.89583333333333304</v>
      </c>
      <c r="F21" s="99" t="str">
        <f>VLOOKUP(C21,ГрупаА,6)</f>
        <v>Сърбия</v>
      </c>
      <c r="G21" s="99"/>
      <c r="H21" s="26">
        <f>IF(OR(I21="",I22=""),0,IF(AND(I21=25,I21-I22&gt;=2),1,IF(I21-I22=2,IF(I21&lt;25,0,1),0)))+IF(OR(J21="",J22="",I21="",I22=""),0,IF(OR(AND(I21=0,I22=0),AND(I21&lt;25,I22&lt;25)),0,IF(AND(J21=25,J21-J22&gt;=2),1,IF(J21-J22=2,IF(J21&lt;25,0,1),0))))+IF(OR(K21="",K22="",J21="",J22="",I21="",I22=""),0,IF(OR(AND(J21=0,J22=0),AND(I21=0,I22=0),AND(J21&lt;25,J22&lt;25),AND(I21&lt;25,I22&lt;25)),0,IF(AND(K21=25,K21-K22&gt;=2),1,IF(K21-K22=2,IF(K21&lt;25,0,1),0))))+IF(OR(L21="",L22="",K21="",K22="",J21="",J22="",I21="",I22=""),0,IF(OR(AND(J21=0,J22=0),AND(I21=0,I22=0),AND(K21=0,K22=0),AND(J21&lt;25,J22&lt;25),AND(I21&lt;25,I22&lt;25),AND(K21&lt;25,K22&lt;25)),0,IF(AND(L21=25,L21-L22&gt;=2),1,IF(L21-L22=2,IF(L21&lt;25,0,1),0))))+IF(OR(M21="",M22="",L21="",L22="",K21="",K22="",J21="",J22="",I21="",I22=""),0,IF(OR(AND(J21=0,J22=0),AND(I21=0,I22=0),AND(K21=0,K22=0),AND(L21=0,L22=0),AND(J21&lt;25,J22&lt;25),AND(I21&lt;25,I22&lt;25),AND(K21&lt;25,K22&lt;25),AND(L21&lt;25,L22&lt;25)),0,IF(AND(M21=15,M21-M22&gt;=2),1,IF(M21-M22=2,IF(M21&lt;25,0,1),0))))</f>
        <v>0</v>
      </c>
      <c r="I21" s="8"/>
      <c r="J21" s="8"/>
      <c r="K21" s="8"/>
      <c r="L21" s="8"/>
      <c r="M21" s="9"/>
      <c r="N21" s="14">
        <f>IF(H21-H22&gt;=2,3,IF(H21-H22=1,2,IF(H21-H22=-1,1,0)))</f>
        <v>0</v>
      </c>
      <c r="O21" s="12"/>
      <c r="P21" s="167">
        <v>4</v>
      </c>
      <c r="Q21" s="163">
        <f>VLOOKUP(P21,ГрупаB,2)</f>
        <v>44803</v>
      </c>
      <c r="R21" s="165">
        <f>VLOOKUP(P21,ГрупаB,4)</f>
        <v>0.89583333333333304</v>
      </c>
      <c r="S21" s="99" t="str">
        <f>VLOOKUP(P21,ГрупаB,6)</f>
        <v>Бразилия</v>
      </c>
      <c r="T21" s="99"/>
      <c r="U21" s="26">
        <f>IF(OR(V21="",V22=""),0,IF(AND(V21=25,V21-V22&gt;=2),1,IF(V21-V22=2,IF(V21&lt;25,0,1),0)))+IF(OR(W21="",W22="",V21="",V22=""),0,IF(OR(AND(V21=0,V22=0),AND(V21&lt;25,V22&lt;25)),0,IF(AND(W21=25,W21-W22&gt;=2),1,IF(W21-W22=2,IF(W21&lt;25,0,1),0))))+IF(OR(X21="",X22="",W21="",W22="",V21="",V22=""),0,IF(OR(AND(W21=0,W22=0),AND(V21=0,V22=0),AND(W21&lt;25,W22&lt;25),AND(V21&lt;25,V22&lt;25)),0,IF(AND(X21=25,X21-X22&gt;=2),1,IF(X21-X22=2,IF(X21&lt;25,0,1),0))))+IF(OR(Y21="",Y22="",X21="",X22="",W21="",W22="",V21="",V22=""),0,IF(OR(AND(W21=0,W22=0),AND(V21=0,V22=0),AND(X21=0,X22=0),AND(W21&lt;25,W22&lt;25),AND(V21&lt;25,V22&lt;25),AND(X21&lt;25,X22&lt;25)),0,IF(AND(Y21=25,Y21-Y22&gt;=2),1,IF(Y21-Y22=2,IF(Y21&lt;25,0,1),0))))+IF(OR(Z21="",Z22="",Y21="",Y22="",X21="",X22="",W21="",W22="",V21="",V22=""),0,IF(OR(AND(W21=0,W22=0),AND(V21=0,V22=0),AND(X21=0,X22=0),AND(Y21=0,Y22=0),AND(W21&lt;25,W22&lt;25),AND(V21&lt;25,V22&lt;25),AND(X21&lt;25,X22&lt;25),AND(Y21&lt;25,Y22&lt;25)),0,IF(AND(Z21=15,Z21-Z22&gt;=2),1,IF(Z21-Z22=2,IF(Z21&lt;25,0,1),0))))</f>
        <v>0</v>
      </c>
      <c r="V21" s="8"/>
      <c r="W21" s="8"/>
      <c r="X21" s="8"/>
      <c r="Y21" s="8"/>
      <c r="Z21" s="9"/>
      <c r="AA21" s="14">
        <f>IF(U21-U22&gt;=2,3,IF(U21-U22=1,2,IF(U21-U22=-1,1,0)))</f>
        <v>0</v>
      </c>
      <c r="AB21" s="12"/>
      <c r="AC21" s="167">
        <v>4</v>
      </c>
      <c r="AD21" s="163">
        <f>VLOOKUP(AC21,ГрупаС,2)</f>
        <v>44808</v>
      </c>
      <c r="AE21" s="165">
        <f>VLOOKUP(AC21,ГрупаС,4)</f>
        <v>0.89583333333333304</v>
      </c>
      <c r="AF21" s="99" t="str">
        <f>VLOOKUP(AC21,ГрупаС,6)</f>
        <v>Полша</v>
      </c>
      <c r="AG21" s="99"/>
      <c r="AH21" s="26">
        <f>IF(OR(AI21="",AI22=""),0,IF(AND(AI21=25,AI21-AI22&gt;=2),1,IF(AI21-AI22=2,IF(AI21&lt;25,0,1),0)))+IF(OR(AJ21="",AJ22="",AI21="",AI22=""),0,IF(OR(AND(AI21=0,AI22=0),AND(AI21&lt;25,AI22&lt;25)),0,IF(AND(AJ21=25,AJ21-AJ22&gt;=2),1,IF(AJ21-AJ22=2,IF(AJ21&lt;25,0,1),0))))+IF(OR(AK21="",AK22="",AJ21="",AJ22="",AI21="",AI22=""),0,IF(OR(AND(AJ21=0,AJ22=0),AND(AI21=0,AI22=0),AND(AJ21&lt;25,AJ22&lt;25),AND(AI21&lt;25,AI22&lt;25)),0,IF(AND(AK21=25,AK21-AK22&gt;=2),1,IF(AK21-AK22=2,IF(AK21&lt;25,0,1),0))))+IF(OR(AL21="",AL22="",AK21="",AK22="",AJ21="",AJ22="",AI21="",AI22=""),0,IF(OR(AND(AJ21=0,AJ22=0),AND(AI21=0,AI22=0),AND(AK21=0,AK22=0),AND(AJ21&lt;25,AJ22&lt;25),AND(AI21&lt;25,AI22&lt;25),AND(AK21&lt;25,AK22&lt;25)),0,IF(AND(AL21=25,AL21-AL22&gt;=2),1,IF(AL21-AL22=2,IF(AL21&lt;25,0,1),0))))+IF(OR(AM21="",AM22="",AL21="",AL22="",AK21="",AK22="",AJ21="",AJ22="",AI21="",AI22=""),0,IF(OR(AND(AJ21=0,AJ22=0),AND(AI21=0,AI22=0),AND(AK21=0,AK22=0),AND(AL21=0,AL22=0),AND(AJ21&lt;25,AJ22&lt;25),AND(AI21&lt;25,AI22&lt;25),AND(AK21&lt;25,AK22&lt;25),AND(AL21&lt;25,AL22&lt;25)),0,IF(AND(AM21=15,AM21-AM22&gt;=2),1,IF(AM21-AM22=2,IF(AM21&lt;25,0,1),0))))</f>
        <v>0</v>
      </c>
      <c r="AI21" s="8"/>
      <c r="AJ21" s="8"/>
      <c r="AK21" s="8"/>
      <c r="AL21" s="8"/>
      <c r="AM21" s="9"/>
      <c r="AN21" s="14">
        <f>IF(AH21-AH22&gt;=2,3,IF(AH21-AH22=1,2,IF(AH21-AH22=-1,1,0)))</f>
        <v>0</v>
      </c>
      <c r="AO21" s="12"/>
      <c r="AP21" s="167">
        <v>4</v>
      </c>
      <c r="AQ21" s="163">
        <f>VLOOKUP(AP21,ГрупаD,2)</f>
        <v>44808</v>
      </c>
      <c r="AR21" s="165">
        <f>VLOOKUP(AP21,ГрупаD,4)</f>
        <v>0.89583333333333304</v>
      </c>
      <c r="AS21" s="99" t="str">
        <f>VLOOKUP(AP21,ГрупаD,6)</f>
        <v>Франция</v>
      </c>
      <c r="AT21" s="99"/>
      <c r="AU21" s="26">
        <f>IF(OR(AV21="",AV22=""),0,IF(AND(AV21=25,AV21-AV22&gt;=2),1,IF(AV21-AV22=2,IF(AV21&lt;25,0,1),0)))+IF(OR(AW21="",AW22="",AV21="",AV22=""),0,IF(OR(AND(AV21=0,AV22=0),AND(AV21&lt;25,AV22&lt;25)),0,IF(AND(AW21=25,AW21-AW22&gt;=2),1,IF(AW21-AW22=2,IF(AW21&lt;25,0,1),0))))+IF(OR(AX21="",AX22="",AW21="",AW22="",AV21="",AV22=""),0,IF(OR(AND(AW21=0,AW22=0),AND(AV21=0,AV22=0),AND(AW21&lt;25,AW22&lt;25),AND(AV21&lt;25,AV22&lt;25)),0,IF(AND(AX21=25,AX21-AX22&gt;=2),1,IF(AX21-AX22=2,IF(AX21&lt;25,0,1),0))))+IF(OR(AY21="",AY22="",AX21="",AX22="",AW21="",AW22="",AV21="",AV22=""),0,IF(OR(AND(AW21=0,AW22=0),AND(AV21=0,AV22=0),AND(AX21=0,AX22=0),AND(AW21&lt;25,AW22&lt;25),AND(AV21&lt;25,AV22&lt;25),AND(AX21&lt;25,AX22&lt;25)),0,IF(AND(AY21=25,AY21-AY22&gt;=2),1,IF(AY21-AY22=2,IF(AY21&lt;25,0,1),0))))+IF(OR(AZ21="",AZ22="",AY21="",AY22="",AX21="",AX22="",AW21="",AW22="",AV21="",AV22=""),0,IF(OR(AND(AW21=0,AW22=0),AND(AV21=0,AV22=0),AND(AX21=0,AX22=0),AND(AY21=0,AY22=0),AND(AW21&lt;25,AW22&lt;25),AND(AV21&lt;25,AV22&lt;25),AND(AX21&lt;25,AX22&lt;25),AND(AY21&lt;25,AY22&lt;25)),0,IF(AND(AZ21=15,AZ21-AZ22&gt;=2),1,IF(AZ21-AZ22=2,IF(AZ21&lt;25,0,1),0))))</f>
        <v>0</v>
      </c>
      <c r="AV21" s="8"/>
      <c r="AW21" s="8"/>
      <c r="AX21" s="8"/>
      <c r="AY21" s="8"/>
      <c r="AZ21" s="9"/>
      <c r="BA21" s="14">
        <f>IF(AU21-AU22&gt;=2,3,IF(AU21-AU22=1,2,IF(AU21-AU22=-1,1,0)))</f>
        <v>0</v>
      </c>
      <c r="BB21" s="12"/>
    </row>
    <row r="22" spans="2:54" ht="15" customHeight="1" thickBot="1" x14ac:dyDescent="0.3">
      <c r="B22" s="12"/>
      <c r="C22" s="168"/>
      <c r="D22" s="164"/>
      <c r="E22" s="166"/>
      <c r="F22" s="88" t="str">
        <f>VLOOKUP(C21,ГрупаА,8)</f>
        <v>Тунис</v>
      </c>
      <c r="G22" s="88"/>
      <c r="H22" s="32">
        <f>IF(OR(I21="",I22=""),0,IF(AND(I22=25,I22-I21&gt;=2),1,IF(I22-I21=2,IF(I22&lt;25,0,1),0)))+IF(OR(J21="",J22="",I21="",I22=""),0,IF(OR(AND(I21=0,I22=0),AND(I21&lt;25,I22&lt;25)),0,IF(AND(J22=25,J22-J21&gt;=2),1,IF(J22-J21=2,IF(J22&lt;25,0,1),0))))+IF(OR(K21="",K22="",J21="",J22="",I21="",I22=""),0,IF(OR(AND(J21=0,J22=0),AND(I21=0,I22=0),AND(J21&lt;25,J22&lt;25),AND(I21&lt;25,I22&lt;25)),0,IF(AND(K22=25,K22-K21&gt;=2),1,IF(K22-K21=2,IF(K22&lt;25,0,1),0))))+IF(OR(L21="",L22="",K21="",K22="",J21="",J22="",I21="",I22=""),0,IF(OR(AND(J21=0,J22=0),AND(I21=0,I22=0),AND(K21=0,K22=0),AND(J21&lt;25,J22&lt;25),AND(I21&lt;25,I22&lt;25),AND(K21&lt;25,K22&lt;25)),0,IF(AND(L22=25,L22-L21&gt;=2),1,IF(L22-L21=2,IF(L22&lt;25,0,1),0))))+IF(OR(M21="",M22="",L21="",L22="",K21="",K22="",J21="",J22="",I21="",I22=""),0,IF(OR(AND(J21=0,J22=0),AND(I21=0,I22=0),AND(K21=0,K22=0),AND(L21=0,L22=0),AND(J21&lt;25,J22&lt;25),AND(I21&lt;25,I22&lt;25),AND(K21&lt;25,K22&lt;25),AND(L21&lt;25,L22&lt;25)),0,IF(AND(M22=15,M22-M21&gt;=2),1,IF(M22-M21=2,IF(M22&lt;25,0,1),0))))</f>
        <v>0</v>
      </c>
      <c r="I22" s="10"/>
      <c r="J22" s="10"/>
      <c r="K22" s="10"/>
      <c r="L22" s="10"/>
      <c r="M22" s="11"/>
      <c r="N22" s="14">
        <f>IF(H22-H21&gt;=2,3,IF(H22-H21=1,2,IF(H22-H21=-1,1,0)))</f>
        <v>0</v>
      </c>
      <c r="O22" s="12"/>
      <c r="P22" s="168"/>
      <c r="Q22" s="164"/>
      <c r="R22" s="166"/>
      <c r="S22" s="88" t="str">
        <f>VLOOKUP(P21,ГрупаB,8)</f>
        <v>Куба</v>
      </c>
      <c r="T22" s="88"/>
      <c r="U22" s="32">
        <f>IF(OR(V21="",V22=""),0,IF(AND(V22=25,V22-V21&gt;=2),1,IF(V22-V21=2,IF(V22&lt;25,0,1),0)))+IF(OR(W21="",W22="",V21="",V22=""),0,IF(OR(AND(V21=0,V22=0),AND(V21&lt;25,V22&lt;25)),0,IF(AND(W22=25,W22-W21&gt;=2),1,IF(W22-W21=2,IF(W22&lt;25,0,1),0))))+IF(OR(X21="",X22="",W21="",W22="",V21="",V22=""),0,IF(OR(AND(W21=0,W22=0),AND(V21=0,V22=0),AND(W21&lt;25,W22&lt;25),AND(V21&lt;25,V22&lt;25)),0,IF(AND(X22=25,X22-X21&gt;=2),1,IF(X22-X21=2,IF(X22&lt;25,0,1),0))))+IF(OR(Y21="",Y22="",X21="",X22="",W21="",W22="",V21="",V22=""),0,IF(OR(AND(W21=0,W22=0),AND(V21=0,V22=0),AND(X21=0,X22=0),AND(W21&lt;25,W22&lt;25),AND(V21&lt;25,V22&lt;25),AND(X21&lt;25,X22&lt;25)),0,IF(AND(Y22=25,Y22-Y21&gt;=2),1,IF(Y22-Y21=2,IF(Y22&lt;25,0,1),0))))+IF(OR(Z21="",Z22="",Y21="",Y22="",X21="",X22="",W21="",W22="",V21="",V22=""),0,IF(OR(AND(W21=0,W22=0),AND(V21=0,V22=0),AND(X21=0,X22=0),AND(Y21=0,Y22=0),AND(W21&lt;25,W22&lt;25),AND(V21&lt;25,V22&lt;25),AND(X21&lt;25,X22&lt;25),AND(Y21&lt;25,Y22&lt;25)),0,IF(AND(Z22=15,Z22-Z21&gt;=2),1,IF(Z22-Z21=2,IF(Z22&lt;25,0,1),0))))</f>
        <v>0</v>
      </c>
      <c r="V22" s="10"/>
      <c r="W22" s="10"/>
      <c r="X22" s="10"/>
      <c r="Y22" s="10"/>
      <c r="Z22" s="11"/>
      <c r="AA22" s="14">
        <f>IF(U22-U21&gt;=2,3,IF(U22-U21=1,2,IF(U22-U21=-1,1,0)))</f>
        <v>0</v>
      </c>
      <c r="AB22" s="12"/>
      <c r="AC22" s="168"/>
      <c r="AD22" s="164"/>
      <c r="AE22" s="166"/>
      <c r="AF22" s="88" t="str">
        <f>VLOOKUP(AC21,ГрупаС,8)</f>
        <v>Мексико</v>
      </c>
      <c r="AG22" s="88"/>
      <c r="AH22" s="32">
        <f>IF(OR(AI21="",AI22=""),0,IF(AND(AI22=25,AI22-AI21&gt;=2),1,IF(AI22-AI21=2,IF(AI22&lt;25,0,1),0)))+IF(OR(AJ21="",AJ22="",AI21="",AI22=""),0,IF(OR(AND(AI21=0,AI22=0),AND(AI21&lt;25,AI22&lt;25)),0,IF(AND(AJ22=25,AJ22-AJ21&gt;=2),1,IF(AJ22-AJ21=2,IF(AJ22&lt;25,0,1),0))))+IF(OR(AK21="",AK22="",AJ21="",AJ22="",AI21="",AI22=""),0,IF(OR(AND(AJ21=0,AJ22=0),AND(AI21=0,AI22=0),AND(AJ21&lt;25,AJ22&lt;25),AND(AI21&lt;25,AI22&lt;25)),0,IF(AND(AK22=25,AK22-AK21&gt;=2),1,IF(AK22-AK21=2,IF(AK22&lt;25,0,1),0))))+IF(OR(AL21="",AL22="",AK21="",AK22="",AJ21="",AJ22="",AI21="",AI22=""),0,IF(OR(AND(AJ21=0,AJ22=0),AND(AI21=0,AI22=0),AND(AK21=0,AK22=0),AND(AJ21&lt;25,AJ22&lt;25),AND(AI21&lt;25,AI22&lt;25),AND(AK21&lt;25,AK22&lt;25)),0,IF(AND(AL22=25,AL22-AL21&gt;=2),1,IF(AL22-AL21=2,IF(AL22&lt;25,0,1),0))))+IF(OR(AM21="",AM22="",AL21="",AL22="",AK21="",AK22="",AJ21="",AJ22="",AI21="",AI22=""),0,IF(OR(AND(AJ21=0,AJ22=0),AND(AI21=0,AI22=0),AND(AK21=0,AK22=0),AND(AL21=0,AL22=0),AND(AJ21&lt;25,AJ22&lt;25),AND(AI21&lt;25,AI22&lt;25),AND(AK21&lt;25,AK22&lt;25),AND(AL21&lt;25,AL22&lt;25)),0,IF(AND(AM22=15,AM22-AM21&gt;=2),1,IF(AM22-AM21=2,IF(AM22&lt;25,0,1),0))))</f>
        <v>0</v>
      </c>
      <c r="AI22" s="10"/>
      <c r="AJ22" s="10"/>
      <c r="AK22" s="10"/>
      <c r="AL22" s="10"/>
      <c r="AM22" s="11"/>
      <c r="AN22" s="14">
        <f>IF(AH22-AH21&gt;=2,3,IF(AH22-AH21=1,2,IF(AH22-AH21=-1,1,0)))</f>
        <v>0</v>
      </c>
      <c r="AO22" s="12"/>
      <c r="AP22" s="168"/>
      <c r="AQ22" s="164"/>
      <c r="AR22" s="166"/>
      <c r="AS22" s="88" t="str">
        <f>VLOOKUP(AP21,ГрупаD,8)</f>
        <v>Германия</v>
      </c>
      <c r="AT22" s="88"/>
      <c r="AU22" s="32">
        <f>IF(OR(AV21="",AV22=""),0,IF(AND(AV22=25,AV22-AV21&gt;=2),1,IF(AV22-AV21=2,IF(AV22&lt;25,0,1),0)))+IF(OR(AW21="",AW22="",AV21="",AV22=""),0,IF(OR(AND(AV21=0,AV22=0),AND(AV21&lt;25,AV22&lt;25)),0,IF(AND(AW22=25,AW22-AW21&gt;=2),1,IF(AW22-AW21=2,IF(AW22&lt;25,0,1),0))))+IF(OR(AX21="",AX22="",AW21="",AW22="",AV21="",AV22=""),0,IF(OR(AND(AW21=0,AW22=0),AND(AV21=0,AV22=0),AND(AW21&lt;25,AW22&lt;25),AND(AV21&lt;25,AV22&lt;25)),0,IF(AND(AX22=25,AX22-AX21&gt;=2),1,IF(AX22-AX21=2,IF(AX22&lt;25,0,1),0))))+IF(OR(AY21="",AY22="",AX21="",AX22="",AW21="",AW22="",AV21="",AV22=""),0,IF(OR(AND(AW21=0,AW22=0),AND(AV21=0,AV22=0),AND(AX21=0,AX22=0),AND(AW21&lt;25,AW22&lt;25),AND(AV21&lt;25,AV22&lt;25),AND(AX21&lt;25,AX22&lt;25)),0,IF(AND(AY22=25,AY22-AY21&gt;=2),1,IF(AY22-AY21=2,IF(AY22&lt;25,0,1),0))))+IF(OR(AZ21="",AZ22="",AY21="",AY22="",AX21="",AX22="",AW21="",AW22="",AV21="",AV22=""),0,IF(OR(AND(AW21=0,AW22=0),AND(AV21=0,AV22=0),AND(AX21=0,AX22=0),AND(AY21=0,AY22=0),AND(AW21&lt;25,AW22&lt;25),AND(AV21&lt;25,AV22&lt;25),AND(AX21&lt;25,AX22&lt;25),AND(AY21&lt;25,AY22&lt;25)),0,IF(AND(AZ22=15,AZ22-AZ21&gt;=2),1,IF(AZ22-AZ21=2,IF(AZ22&lt;25,0,1),0))))</f>
        <v>0</v>
      </c>
      <c r="AV22" s="10"/>
      <c r="AW22" s="10"/>
      <c r="AX22" s="10"/>
      <c r="AY22" s="10"/>
      <c r="AZ22" s="11"/>
      <c r="BA22" s="14">
        <f>IF(AU22-AU21&gt;=2,3,IF(AU22-AU21=1,2,IF(AU22-AU21=-1,1,0)))</f>
        <v>0</v>
      </c>
      <c r="BB22" s="12"/>
    </row>
    <row r="23" spans="2:54" ht="15.75" thickBot="1" x14ac:dyDescent="0.3"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</row>
    <row r="24" spans="2:54" ht="15" customHeight="1" x14ac:dyDescent="0.25">
      <c r="B24" s="12"/>
      <c r="C24" s="58" t="s">
        <v>20</v>
      </c>
      <c r="D24" s="59" t="s">
        <v>21</v>
      </c>
      <c r="E24" s="59" t="s">
        <v>22</v>
      </c>
      <c r="F24" s="84" t="s">
        <v>23</v>
      </c>
      <c r="G24" s="84"/>
      <c r="H24" s="59" t="s">
        <v>11</v>
      </c>
      <c r="I24" s="59" t="s">
        <v>24</v>
      </c>
      <c r="J24" s="59" t="s">
        <v>25</v>
      </c>
      <c r="K24" s="59" t="s">
        <v>26</v>
      </c>
      <c r="L24" s="59" t="s">
        <v>27</v>
      </c>
      <c r="M24" s="60" t="s">
        <v>28</v>
      </c>
      <c r="O24" s="12"/>
      <c r="P24" s="58" t="s">
        <v>20</v>
      </c>
      <c r="Q24" s="59" t="s">
        <v>21</v>
      </c>
      <c r="R24" s="59" t="s">
        <v>22</v>
      </c>
      <c r="S24" s="84" t="s">
        <v>23</v>
      </c>
      <c r="T24" s="84"/>
      <c r="U24" s="59" t="s">
        <v>11</v>
      </c>
      <c r="V24" s="59" t="s">
        <v>24</v>
      </c>
      <c r="W24" s="59" t="s">
        <v>25</v>
      </c>
      <c r="X24" s="59" t="s">
        <v>26</v>
      </c>
      <c r="Y24" s="59" t="s">
        <v>27</v>
      </c>
      <c r="Z24" s="60" t="s">
        <v>28</v>
      </c>
      <c r="AB24" s="12"/>
      <c r="AC24" s="58" t="s">
        <v>20</v>
      </c>
      <c r="AD24" s="59" t="s">
        <v>21</v>
      </c>
      <c r="AE24" s="59" t="s">
        <v>22</v>
      </c>
      <c r="AF24" s="84" t="s">
        <v>23</v>
      </c>
      <c r="AG24" s="84"/>
      <c r="AH24" s="59" t="s">
        <v>11</v>
      </c>
      <c r="AI24" s="59" t="s">
        <v>24</v>
      </c>
      <c r="AJ24" s="59" t="s">
        <v>25</v>
      </c>
      <c r="AK24" s="59" t="s">
        <v>26</v>
      </c>
      <c r="AL24" s="59" t="s">
        <v>27</v>
      </c>
      <c r="AM24" s="60" t="s">
        <v>28</v>
      </c>
      <c r="AO24" s="12"/>
      <c r="AP24" s="58" t="s">
        <v>20</v>
      </c>
      <c r="AQ24" s="59" t="s">
        <v>21</v>
      </c>
      <c r="AR24" s="59" t="s">
        <v>22</v>
      </c>
      <c r="AS24" s="84" t="s">
        <v>23</v>
      </c>
      <c r="AT24" s="84"/>
      <c r="AU24" s="59" t="s">
        <v>11</v>
      </c>
      <c r="AV24" s="59" t="s">
        <v>24</v>
      </c>
      <c r="AW24" s="59" t="s">
        <v>25</v>
      </c>
      <c r="AX24" s="59" t="s">
        <v>26</v>
      </c>
      <c r="AY24" s="59" t="s">
        <v>27</v>
      </c>
      <c r="AZ24" s="60" t="s">
        <v>28</v>
      </c>
      <c r="BB24" s="12"/>
    </row>
    <row r="25" spans="2:54" ht="15" customHeight="1" x14ac:dyDescent="0.25">
      <c r="B25" s="12"/>
      <c r="C25" s="167">
        <v>5</v>
      </c>
      <c r="D25" s="163">
        <f>VLOOKUP(C25,ГрупаА,2)</f>
        <v>44804</v>
      </c>
      <c r="E25" s="165">
        <f>VLOOKUP(C25,ГрупаА,4)</f>
        <v>0.9375</v>
      </c>
      <c r="F25" s="99" t="str">
        <f>VLOOKUP(C25,ГрупаА,6)</f>
        <v>Украйна</v>
      </c>
      <c r="G25" s="99"/>
      <c r="H25" s="26">
        <f>IF(OR(I25="",I26=""),0,IF(AND(I25=25,I25-I26&gt;=2),1,IF(I25-I26=2,IF(I25&lt;25,0,1),0)))+IF(OR(J25="",J26="",I25="",I26=""),0,IF(OR(AND(I25=0,I26=0),AND(I25&lt;25,I26&lt;25)),0,IF(AND(J25=25,J25-J26&gt;=2),1,IF(J25-J26=2,IF(J25&lt;25,0,1),0))))+IF(OR(K25="",K26="",J25="",J26="",I25="",I26=""),0,IF(OR(AND(J25=0,J26=0),AND(I25=0,I26=0),AND(J25&lt;25,J26&lt;25),AND(I25&lt;25,I26&lt;25)),0,IF(AND(K25=25,K25-K26&gt;=2),1,IF(K25-K26=2,IF(K25&lt;25,0,1),0))))+IF(OR(L25="",L26="",K25="",K26="",J25="",J26="",I25="",I26=""),0,IF(OR(AND(J25=0,J26=0),AND(I25=0,I26=0),AND(K25=0,K26=0),AND(J25&lt;25,J26&lt;25),AND(I25&lt;25,I26&lt;25),AND(K25&lt;25,K26&lt;25)),0,IF(AND(L25=25,L25-L26&gt;=2),1,IF(L25-L26=2,IF(L25&lt;25,0,1),0))))+IF(OR(M25="",M26="",L25="",L26="",K25="",K26="",J25="",J26="",I25="",I26=""),0,IF(OR(AND(J25=0,J26=0),AND(I25=0,I26=0),AND(K25=0,K26=0),AND(L25=0,L26=0),AND(J25&lt;25,J26&lt;25),AND(I25&lt;25,I26&lt;25),AND(K25&lt;25,K26&lt;25),AND(L25&lt;25,L26&lt;25)),0,IF(AND(M25=15,M25-M26&gt;=2),1,IF(M25-M26=2,IF(M25&lt;25,0,1),0))))</f>
        <v>0</v>
      </c>
      <c r="I25" s="8"/>
      <c r="J25" s="8"/>
      <c r="K25" s="8"/>
      <c r="L25" s="8"/>
      <c r="M25" s="9"/>
      <c r="N25" s="14">
        <f>IF(H25-H26&gt;=2,3,IF(H25-H26=1,2,IF(H25-H26=-1,1,0)))</f>
        <v>0</v>
      </c>
      <c r="O25" s="12"/>
      <c r="P25" s="167">
        <v>5</v>
      </c>
      <c r="Q25" s="163">
        <f>VLOOKUP(P25,ГрупаB,2)</f>
        <v>44804</v>
      </c>
      <c r="R25" s="165">
        <f>VLOOKUP(P25,ГрупаB,4)</f>
        <v>0.9375</v>
      </c>
      <c r="S25" s="99" t="str">
        <f>VLOOKUP(P25,ГрупаB,6)</f>
        <v>Япония</v>
      </c>
      <c r="T25" s="99"/>
      <c r="U25" s="26">
        <f>IF(OR(V25="",V26=""),0,IF(AND(V25=25,V25-V26&gt;=2),1,IF(V25-V26=2,IF(V25&lt;25,0,1),0)))+IF(OR(W25="",W26="",V25="",V26=""),0,IF(OR(AND(V25=0,V26=0),AND(V25&lt;25,V26&lt;25)),0,IF(AND(W25=25,W25-W26&gt;=2),1,IF(W25-W26=2,IF(W25&lt;25,0,1),0))))+IF(OR(X25="",X26="",W25="",W26="",V25="",V26=""),0,IF(OR(AND(W25=0,W26=0),AND(V25=0,V26=0),AND(W25&lt;25,W26&lt;25),AND(V25&lt;25,V26&lt;25)),0,IF(AND(X25=25,X25-X26&gt;=2),1,IF(X25-X26=2,IF(X25&lt;25,0,1),0))))+IF(OR(Y25="",Y26="",X25="",X26="",W25="",W26="",V25="",V26=""),0,IF(OR(AND(W25=0,W26=0),AND(V25=0,V26=0),AND(X25=0,X26=0),AND(W25&lt;25,W26&lt;25),AND(V25&lt;25,V26&lt;25),AND(X25&lt;25,X26&lt;25)),0,IF(AND(Y25=25,Y25-Y26&gt;=2),1,IF(Y25-Y26=2,IF(Y25&lt;25,0,1),0))))+IF(OR(Z25="",Z26="",Y25="",Y26="",X25="",X26="",W25="",W26="",V25="",V26=""),0,IF(OR(AND(W25=0,W26=0),AND(V25=0,V26=0),AND(X25=0,X26=0),AND(Y25=0,Y26=0),AND(W25&lt;25,W26&lt;25),AND(V25&lt;25,V26&lt;25),AND(X25&lt;25,X26&lt;25),AND(Y25&lt;25,Y26&lt;25)),0,IF(AND(Z25=15,Z25-Z26&gt;=2),1,IF(Z25-Z26=2,IF(Z25&lt;25,0,1),0))))</f>
        <v>0</v>
      </c>
      <c r="V25" s="8"/>
      <c r="W25" s="8"/>
      <c r="X25" s="8"/>
      <c r="Y25" s="8"/>
      <c r="Z25" s="9"/>
      <c r="AA25" s="14">
        <f>IF(U25-U26&gt;=2,3,IF(U25-U26=1,2,IF(U25-U26=-1,1,0)))</f>
        <v>0</v>
      </c>
      <c r="AB25" s="12"/>
      <c r="AC25" s="167">
        <v>5</v>
      </c>
      <c r="AD25" s="163">
        <f>VLOOKUP(AC25,ГрупаС,2)</f>
        <v>44809</v>
      </c>
      <c r="AE25" s="165">
        <f>VLOOKUP(AC25,ГрупаС,4)</f>
        <v>0.9375</v>
      </c>
      <c r="AF25" s="99" t="str">
        <f>VLOOKUP(AC25,ГрупаС,6)</f>
        <v xml:space="preserve">САЩ </v>
      </c>
      <c r="AG25" s="99"/>
      <c r="AH25" s="26">
        <f>IF(OR(AI25="",AI26=""),0,IF(AND(AI25=25,AI25-AI26&gt;=2),1,IF(AI25-AI26=2,IF(AI25&lt;25,0,1),0)))+IF(OR(AJ25="",AJ26="",AI25="",AI26=""),0,IF(OR(AND(AI25=0,AI26=0),AND(AI25&lt;25,AI26&lt;25)),0,IF(AND(AJ25=25,AJ25-AJ26&gt;=2),1,IF(AJ25-AJ26=2,IF(AJ25&lt;25,0,1),0))))+IF(OR(AK25="",AK26="",AJ25="",AJ26="",AI25="",AI26=""),0,IF(OR(AND(AJ25=0,AJ26=0),AND(AI25=0,AI26=0),AND(AJ25&lt;25,AJ26&lt;25),AND(AI25&lt;25,AI26&lt;25)),0,IF(AND(AK25=25,AK25-AK26&gt;=2),1,IF(AK25-AK26=2,IF(AK25&lt;25,0,1),0))))+IF(OR(AL25="",AL26="",AK25="",AK26="",AJ25="",AJ26="",AI25="",AI26=""),0,IF(OR(AND(AJ25=0,AJ26=0),AND(AI25=0,AI26=0),AND(AK25=0,AK26=0),AND(AJ25&lt;25,AJ26&lt;25),AND(AI25&lt;25,AI26&lt;25),AND(AK25&lt;25,AK26&lt;25)),0,IF(AND(AL25=25,AL25-AL26&gt;=2),1,IF(AL25-AL26=2,IF(AL25&lt;25,0,1),0))))+IF(OR(AM25="",AM26="",AL25="",AL26="",AK25="",AK26="",AJ25="",AJ26="",AI25="",AI26=""),0,IF(OR(AND(AJ25=0,AJ26=0),AND(AI25=0,AI26=0),AND(AK25=0,AK26=0),AND(AL25=0,AL26=0),AND(AJ25&lt;25,AJ26&lt;25),AND(AI25&lt;25,AI26&lt;25),AND(AK25&lt;25,AK26&lt;25),AND(AL25&lt;25,AL26&lt;25)),0,IF(AND(AM25=15,AM25-AM26&gt;=2),1,IF(AM25-AM26=2,IF(AM25&lt;25,0,1),0))))</f>
        <v>0</v>
      </c>
      <c r="AI25" s="8"/>
      <c r="AJ25" s="8"/>
      <c r="AK25" s="8"/>
      <c r="AL25" s="8"/>
      <c r="AM25" s="9"/>
      <c r="AN25" s="14">
        <f>IF(AH25-AH26&gt;=2,3,IF(AH25-AH26=1,2,IF(AH25-AH26=-1,1,0)))</f>
        <v>0</v>
      </c>
      <c r="AO25" s="12"/>
      <c r="AP25" s="167">
        <v>5</v>
      </c>
      <c r="AQ25" s="163">
        <f>VLOOKUP(AP25,ГрупаD,2)</f>
        <v>44809</v>
      </c>
      <c r="AR25" s="165">
        <f>VLOOKUP(AP25,ГрупаD,4)</f>
        <v>0.9375</v>
      </c>
      <c r="AS25" s="99" t="str">
        <f>VLOOKUP(AP25,ГрупаD,6)</f>
        <v>Словения</v>
      </c>
      <c r="AT25" s="99"/>
      <c r="AU25" s="26">
        <f>IF(OR(AV25="",AV26=""),0,IF(AND(AV25=25,AV25-AV26&gt;=2),1,IF(AV25-AV26=2,IF(AV25&lt;25,0,1),0)))+IF(OR(AW25="",AW26="",AV25="",AV26=""),0,IF(OR(AND(AV25=0,AV26=0),AND(AV25&lt;25,AV26&lt;25)),0,IF(AND(AW25=25,AW25-AW26&gt;=2),1,IF(AW25-AW26=2,IF(AW25&lt;25,0,1),0))))+IF(OR(AX25="",AX26="",AW25="",AW26="",AV25="",AV26=""),0,IF(OR(AND(AW25=0,AW26=0),AND(AV25=0,AV26=0),AND(AW25&lt;25,AW26&lt;25),AND(AV25&lt;25,AV26&lt;25)),0,IF(AND(AX25=25,AX25-AX26&gt;=2),1,IF(AX25-AX26=2,IF(AX25&lt;25,0,1),0))))+IF(OR(AY25="",AY26="",AX25="",AX26="",AW25="",AW26="",AV25="",AV26=""),0,IF(OR(AND(AW25=0,AW26=0),AND(AV25=0,AV26=0),AND(AX25=0,AX26=0),AND(AW25&lt;25,AW26&lt;25),AND(AV25&lt;25,AV26&lt;25),AND(AX25&lt;25,AX26&lt;25)),0,IF(AND(AY25=25,AY25-AY26&gt;=2),1,IF(AY25-AY26=2,IF(AY25&lt;25,0,1),0))))+IF(OR(AZ25="",AZ26="",AY25="",AY26="",AX25="",AX26="",AW25="",AW26="",AV25="",AV26=""),0,IF(OR(AND(AW25=0,AW26=0),AND(AV25=0,AV26=0),AND(AX25=0,AX26=0),AND(AY25=0,AY26=0),AND(AW25&lt;25,AW26&lt;25),AND(AV25&lt;25,AV26&lt;25),AND(AX25&lt;25,AX26&lt;25),AND(AY25&lt;25,AY26&lt;25)),0,IF(AND(AZ25=15,AZ25-AZ26&gt;=2),1,IF(AZ25-AZ26=2,IF(AZ25&lt;25,0,1),0))))</f>
        <v>0</v>
      </c>
      <c r="AV25" s="8"/>
      <c r="AW25" s="8"/>
      <c r="AX25" s="8"/>
      <c r="AY25" s="8"/>
      <c r="AZ25" s="9"/>
      <c r="BA25" s="14">
        <f>IF(AU25-AU26&gt;=2,3,IF(AU25-AU26=1,2,IF(AU25-AU26=-1,1,0)))</f>
        <v>0</v>
      </c>
      <c r="BB25" s="12"/>
    </row>
    <row r="26" spans="2:54" ht="15" customHeight="1" thickBot="1" x14ac:dyDescent="0.3">
      <c r="B26" s="12"/>
      <c r="C26" s="168"/>
      <c r="D26" s="164"/>
      <c r="E26" s="166"/>
      <c r="F26" s="88" t="str">
        <f>VLOOKUP(C25,ГрупаА,8)</f>
        <v>Тунис</v>
      </c>
      <c r="G26" s="88"/>
      <c r="H26" s="32">
        <f>IF(OR(I25="",I26=""),0,IF(AND(I26=25,I26-I25&gt;=2),1,IF(I26-I25=2,IF(I26&lt;25,0,1),0)))+IF(OR(J25="",J26="",I25="",I26=""),0,IF(OR(AND(I25=0,I26=0),AND(I25&lt;25,I26&lt;25)),0,IF(AND(J26=25,J26-J25&gt;=2),1,IF(J26-J25=2,IF(J26&lt;25,0,1),0))))+IF(OR(K25="",K26="",J25="",J26="",I25="",I26=""),0,IF(OR(AND(J25=0,J26=0),AND(I25=0,I26=0),AND(J25&lt;25,J26&lt;25),AND(I25&lt;25,I26&lt;25)),0,IF(AND(K26=25,K26-K25&gt;=2),1,IF(K26-K25=2,IF(K26&lt;25,0,1),0))))+IF(OR(L25="",L26="",K25="",K26="",J25="",J26="",I25="",I26=""),0,IF(OR(AND(J25=0,J26=0),AND(I25=0,I26=0),AND(K25=0,K26=0),AND(J25&lt;25,J26&lt;25),AND(I25&lt;25,I26&lt;25),AND(K25&lt;25,K26&lt;25)),0,IF(AND(L26=25,L26-L25&gt;=2),1,IF(L26-L25=2,IF(L26&lt;25,0,1),0))))+IF(OR(M25="",M26="",L25="",L26="",K25="",K26="",J25="",J26="",I25="",I26=""),0,IF(OR(AND(J25=0,J26=0),AND(I25=0,I26=0),AND(K25=0,K26=0),AND(L25=0,L26=0),AND(J25&lt;25,J26&lt;25),AND(I25&lt;25,I26&lt;25),AND(K25&lt;25,K26&lt;25),AND(L25&lt;25,L26&lt;25)),0,IF(AND(M26=15,M26-M25&gt;=2),1,IF(M26-M25=2,IF(M26&lt;25,0,1),0))))</f>
        <v>0</v>
      </c>
      <c r="I26" s="10"/>
      <c r="J26" s="10"/>
      <c r="K26" s="10"/>
      <c r="L26" s="10"/>
      <c r="M26" s="11"/>
      <c r="N26" s="14">
        <f>IF(H26-H25&gt;=2,3,IF(H26-H25=1,2,IF(H26-H25=-1,1,0)))</f>
        <v>0</v>
      </c>
      <c r="O26" s="12"/>
      <c r="P26" s="168"/>
      <c r="Q26" s="164"/>
      <c r="R26" s="166"/>
      <c r="S26" s="88" t="str">
        <f>VLOOKUP(P25,ГрупаB,8)</f>
        <v>Куба</v>
      </c>
      <c r="T26" s="88"/>
      <c r="U26" s="32">
        <f>IF(OR(V25="",V26=""),0,IF(AND(V26=25,V26-V25&gt;=2),1,IF(V26-V25=2,IF(V26&lt;25,0,1),0)))+IF(OR(W25="",W26="",V25="",V26=""),0,IF(OR(AND(V25=0,V26=0),AND(V25&lt;25,V26&lt;25)),0,IF(AND(W26=25,W26-W25&gt;=2),1,IF(W26-W25=2,IF(W26&lt;25,0,1),0))))+IF(OR(X25="",X26="",W25="",W26="",V25="",V26=""),0,IF(OR(AND(W25=0,W26=0),AND(V25=0,V26=0),AND(W25&lt;25,W26&lt;25),AND(V25&lt;25,V26&lt;25)),0,IF(AND(X26=25,X26-X25&gt;=2),1,IF(X26-X25=2,IF(X26&lt;25,0,1),0))))+IF(OR(Y25="",Y26="",X25="",X26="",W25="",W26="",V25="",V26=""),0,IF(OR(AND(W25=0,W26=0),AND(V25=0,V26=0),AND(X25=0,X26=0),AND(W25&lt;25,W26&lt;25),AND(V25&lt;25,V26&lt;25),AND(X25&lt;25,X26&lt;25)),0,IF(AND(Y26=25,Y26-Y25&gt;=2),1,IF(Y26-Y25=2,IF(Y26&lt;25,0,1),0))))+IF(OR(Z25="",Z26="",Y25="",Y26="",X25="",X26="",W25="",W26="",V25="",V26=""),0,IF(OR(AND(W25=0,W26=0),AND(V25=0,V26=0),AND(X25=0,X26=0),AND(Y25=0,Y26=0),AND(W25&lt;25,W26&lt;25),AND(V25&lt;25,V26&lt;25),AND(X25&lt;25,X26&lt;25),AND(Y25&lt;25,Y26&lt;25)),0,IF(AND(Z26=15,Z26-Z25&gt;=2),1,IF(Z26-Z25=2,IF(Z26&lt;25,0,1),0))))</f>
        <v>0</v>
      </c>
      <c r="V26" s="10"/>
      <c r="W26" s="10"/>
      <c r="X26" s="10"/>
      <c r="Y26" s="10"/>
      <c r="Z26" s="11"/>
      <c r="AA26" s="14">
        <f>IF(U26-U25&gt;=2,3,IF(U26-U25=1,2,IF(U26-U25=-1,1,0)))</f>
        <v>0</v>
      </c>
      <c r="AB26" s="12"/>
      <c r="AC26" s="168"/>
      <c r="AD26" s="164"/>
      <c r="AE26" s="166"/>
      <c r="AF26" s="88" t="str">
        <f>VLOOKUP(AC25,ГрупаС,8)</f>
        <v>Мексико</v>
      </c>
      <c r="AG26" s="88"/>
      <c r="AH26" s="32">
        <f>IF(OR(AI25="",AI26=""),0,IF(AND(AI26=25,AI26-AI25&gt;=2),1,IF(AI26-AI25=2,IF(AI26&lt;25,0,1),0)))+IF(OR(AJ25="",AJ26="",AI25="",AI26=""),0,IF(OR(AND(AI25=0,AI26=0),AND(AI25&lt;25,AI26&lt;25)),0,IF(AND(AJ26=25,AJ26-AJ25&gt;=2),1,IF(AJ26-AJ25=2,IF(AJ26&lt;25,0,1),0))))+IF(OR(AK25="",AK26="",AJ25="",AJ26="",AI25="",AI26=""),0,IF(OR(AND(AJ25=0,AJ26=0),AND(AI25=0,AI26=0),AND(AJ25&lt;25,AJ26&lt;25),AND(AI25&lt;25,AI26&lt;25)),0,IF(AND(AK26=25,AK26-AK25&gt;=2),1,IF(AK26-AK25=2,IF(AK26&lt;25,0,1),0))))+IF(OR(AL25="",AL26="",AK25="",AK26="",AJ25="",AJ26="",AI25="",AI26=""),0,IF(OR(AND(AJ25=0,AJ26=0),AND(AI25=0,AI26=0),AND(AK25=0,AK26=0),AND(AJ25&lt;25,AJ26&lt;25),AND(AI25&lt;25,AI26&lt;25),AND(AK25&lt;25,AK26&lt;25)),0,IF(AND(AL26=25,AL26-AL25&gt;=2),1,IF(AL26-AL25=2,IF(AL26&lt;25,0,1),0))))+IF(OR(AM25="",AM26="",AL25="",AL26="",AK25="",AK26="",AJ25="",AJ26="",AI25="",AI26=""),0,IF(OR(AND(AJ25=0,AJ26=0),AND(AI25=0,AI26=0),AND(AK25=0,AK26=0),AND(AL25=0,AL26=0),AND(AJ25&lt;25,AJ26&lt;25),AND(AI25&lt;25,AI26&lt;25),AND(AK25&lt;25,AK26&lt;25),AND(AL25&lt;25,AL26&lt;25)),0,IF(AND(AM26=15,AM26-AM25&gt;=2),1,IF(AM26-AM25=2,IF(AM26&lt;25,0,1),0))))</f>
        <v>0</v>
      </c>
      <c r="AI26" s="10"/>
      <c r="AJ26" s="10"/>
      <c r="AK26" s="10"/>
      <c r="AL26" s="10"/>
      <c r="AM26" s="11"/>
      <c r="AN26" s="14">
        <f>IF(AH26-AH25&gt;=2,3,IF(AH26-AH25=1,2,IF(AH26-AH25=-1,1,0)))</f>
        <v>0</v>
      </c>
      <c r="AO26" s="12"/>
      <c r="AP26" s="168"/>
      <c r="AQ26" s="164"/>
      <c r="AR26" s="166"/>
      <c r="AS26" s="88" t="str">
        <f>VLOOKUP(AP25,ГрупаD,8)</f>
        <v>Германия</v>
      </c>
      <c r="AT26" s="88"/>
      <c r="AU26" s="32">
        <f>IF(OR(AV25="",AV26=""),0,IF(AND(AV26=25,AV26-AV25&gt;=2),1,IF(AV26-AV25=2,IF(AV26&lt;25,0,1),0)))+IF(OR(AW25="",AW26="",AV25="",AV26=""),0,IF(OR(AND(AV25=0,AV26=0),AND(AV25&lt;25,AV26&lt;25)),0,IF(AND(AW26=25,AW26-AW25&gt;=2),1,IF(AW26-AW25=2,IF(AW26&lt;25,0,1),0))))+IF(OR(AX25="",AX26="",AW25="",AW26="",AV25="",AV26=""),0,IF(OR(AND(AW25=0,AW26=0),AND(AV25=0,AV26=0),AND(AW25&lt;25,AW26&lt;25),AND(AV25&lt;25,AV26&lt;25)),0,IF(AND(AX26=25,AX26-AX25&gt;=2),1,IF(AX26-AX25=2,IF(AX26&lt;25,0,1),0))))+IF(OR(AY25="",AY26="",AX25="",AX26="",AW25="",AW26="",AV25="",AV26=""),0,IF(OR(AND(AW25=0,AW26=0),AND(AV25=0,AV26=0),AND(AX25=0,AX26=0),AND(AW25&lt;25,AW26&lt;25),AND(AV25&lt;25,AV26&lt;25),AND(AX25&lt;25,AX26&lt;25)),0,IF(AND(AY26=25,AY26-AY25&gt;=2),1,IF(AY26-AY25=2,IF(AY26&lt;25,0,1),0))))+IF(OR(AZ25="",AZ26="",AY25="",AY26="",AX25="",AX26="",AW25="",AW26="",AV25="",AV26=""),0,IF(OR(AND(AW25=0,AW26=0),AND(AV25=0,AV26=0),AND(AX25=0,AX26=0),AND(AY25=0,AY26=0),AND(AW25&lt;25,AW26&lt;25),AND(AV25&lt;25,AV26&lt;25),AND(AX25&lt;25,AX26&lt;25),AND(AY25&lt;25,AY26&lt;25)),0,IF(AND(AZ26=15,AZ26-AZ25&gt;=2),1,IF(AZ26-AZ25=2,IF(AZ26&lt;25,0,1),0))))</f>
        <v>0</v>
      </c>
      <c r="AV26" s="10"/>
      <c r="AW26" s="10"/>
      <c r="AX26" s="10"/>
      <c r="AY26" s="10"/>
      <c r="AZ26" s="11"/>
      <c r="BA26" s="14">
        <f>IF(AU26-AU25&gt;=2,3,IF(AU26-AU25=1,2,IF(AU26-AU25=-1,1,0)))</f>
        <v>0</v>
      </c>
      <c r="BB26" s="12"/>
    </row>
    <row r="27" spans="2:54" ht="15.75" thickBot="1" x14ac:dyDescent="0.3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B27" s="12"/>
    </row>
    <row r="28" spans="2:54" ht="15" customHeight="1" x14ac:dyDescent="0.25">
      <c r="B28" s="12"/>
      <c r="C28" s="58" t="s">
        <v>20</v>
      </c>
      <c r="D28" s="59" t="s">
        <v>21</v>
      </c>
      <c r="E28" s="59" t="s">
        <v>22</v>
      </c>
      <c r="F28" s="84" t="s">
        <v>23</v>
      </c>
      <c r="G28" s="84"/>
      <c r="H28" s="59" t="s">
        <v>11</v>
      </c>
      <c r="I28" s="59" t="s">
        <v>24</v>
      </c>
      <c r="J28" s="59" t="s">
        <v>25</v>
      </c>
      <c r="K28" s="59" t="s">
        <v>26</v>
      </c>
      <c r="L28" s="59" t="s">
        <v>27</v>
      </c>
      <c r="M28" s="60" t="s">
        <v>28</v>
      </c>
      <c r="O28" s="12"/>
      <c r="P28" s="58" t="s">
        <v>20</v>
      </c>
      <c r="Q28" s="59" t="s">
        <v>21</v>
      </c>
      <c r="R28" s="59" t="s">
        <v>22</v>
      </c>
      <c r="S28" s="84" t="s">
        <v>23</v>
      </c>
      <c r="T28" s="84"/>
      <c r="U28" s="59" t="s">
        <v>11</v>
      </c>
      <c r="V28" s="59" t="s">
        <v>24</v>
      </c>
      <c r="W28" s="59" t="s">
        <v>25</v>
      </c>
      <c r="X28" s="59" t="s">
        <v>26</v>
      </c>
      <c r="Y28" s="59" t="s">
        <v>27</v>
      </c>
      <c r="Z28" s="60" t="s">
        <v>28</v>
      </c>
      <c r="AB28" s="12"/>
      <c r="AC28" s="58" t="s">
        <v>20</v>
      </c>
      <c r="AD28" s="59" t="s">
        <v>21</v>
      </c>
      <c r="AE28" s="59" t="s">
        <v>22</v>
      </c>
      <c r="AF28" s="84" t="s">
        <v>23</v>
      </c>
      <c r="AG28" s="84"/>
      <c r="AH28" s="59" t="s">
        <v>11</v>
      </c>
      <c r="AI28" s="59" t="s">
        <v>24</v>
      </c>
      <c r="AJ28" s="59" t="s">
        <v>25</v>
      </c>
      <c r="AK28" s="59" t="s">
        <v>26</v>
      </c>
      <c r="AL28" s="59" t="s">
        <v>27</v>
      </c>
      <c r="AM28" s="60" t="s">
        <v>28</v>
      </c>
      <c r="AO28" s="12"/>
      <c r="AP28" s="58" t="s">
        <v>20</v>
      </c>
      <c r="AQ28" s="59" t="s">
        <v>21</v>
      </c>
      <c r="AR28" s="59" t="s">
        <v>22</v>
      </c>
      <c r="AS28" s="84" t="s">
        <v>23</v>
      </c>
      <c r="AT28" s="84"/>
      <c r="AU28" s="59" t="s">
        <v>11</v>
      </c>
      <c r="AV28" s="59" t="s">
        <v>24</v>
      </c>
      <c r="AW28" s="59" t="s">
        <v>25</v>
      </c>
      <c r="AX28" s="59" t="s">
        <v>26</v>
      </c>
      <c r="AY28" s="59" t="s">
        <v>27</v>
      </c>
      <c r="AZ28" s="60" t="s">
        <v>28</v>
      </c>
      <c r="BB28" s="12"/>
    </row>
    <row r="29" spans="2:54" ht="15" customHeight="1" x14ac:dyDescent="0.25">
      <c r="B29" s="12"/>
      <c r="C29" s="167">
        <v>6</v>
      </c>
      <c r="D29" s="163">
        <f>VLOOKUP(C29,ГрупаА,2)</f>
        <v>44805</v>
      </c>
      <c r="E29" s="165">
        <f>VLOOKUP(C29,ГрупаА,4)</f>
        <v>0.97916666666666696</v>
      </c>
      <c r="F29" s="99" t="str">
        <f>VLOOKUP(C29,ГрупаА,6)</f>
        <v>Пуерто Рико</v>
      </c>
      <c r="G29" s="99"/>
      <c r="H29" s="26">
        <f>IF(OR(I29="",I30=""),0,IF(AND(I29=25,I29-I30&gt;=2),1,IF(I29-I30=2,IF(I29&lt;25,0,1),0)))+IF(OR(J29="",J30="",I29="",I30=""),0,IF(OR(AND(I29=0,I30=0),AND(I29&lt;25,I30&lt;25)),0,IF(AND(J29=25,J29-J30&gt;=2),1,IF(J29-J30=2,IF(J29&lt;25,0,1),0))))+IF(OR(K29="",K30="",J29="",J30="",I29="",I30=""),0,IF(OR(AND(J29=0,J30=0),AND(I29=0,I30=0),AND(J29&lt;25,J30&lt;25),AND(I29&lt;25,I30&lt;25)),0,IF(AND(K29=25,K29-K30&gt;=2),1,IF(K29-K30=2,IF(K29&lt;25,0,1),0))))+IF(OR(L29="",L30="",K29="",K30="",J29="",J30="",I29="",I30=""),0,IF(OR(AND(J29=0,J30=0),AND(I29=0,I30=0),AND(K29=0,K30=0),AND(J29&lt;25,J30&lt;25),AND(I29&lt;25,I30&lt;25),AND(K29&lt;25,K30&lt;25)),0,IF(AND(L29=25,L29-L30&gt;=2),1,IF(L29-L30=2,IF(L29&lt;25,0,1),0))))+IF(OR(M29="",M30="",L29="",L30="",K29="",K30="",J29="",J30="",I29="",I30=""),0,IF(OR(AND(J29=0,J30=0),AND(I29=0,I30=0),AND(K29=0,K30=0),AND(L29=0,L30=0),AND(J29&lt;25,J30&lt;25),AND(I29&lt;25,I30&lt;25),AND(K29&lt;25,K30&lt;25),AND(L29&lt;25,L30&lt;25)),0,IF(AND(M29=15,M29-M30&gt;=2),1,IF(M29-M30=2,IF(M29&lt;25,0,1),0))))</f>
        <v>0</v>
      </c>
      <c r="I29" s="8"/>
      <c r="J29" s="8"/>
      <c r="K29" s="8"/>
      <c r="L29" s="8"/>
      <c r="M29" s="9"/>
      <c r="N29" s="14">
        <f>IF(H29-H30&gt;=2,3,IF(H29-H30=1,2,IF(H29-H30=-1,1,0)))</f>
        <v>0</v>
      </c>
      <c r="O29" s="12"/>
      <c r="P29" s="167">
        <v>6</v>
      </c>
      <c r="Q29" s="163">
        <f>VLOOKUP(P29,ГрупаB,2)</f>
        <v>44805</v>
      </c>
      <c r="R29" s="165">
        <f>VLOOKUP(P29,ГрупаB,4)</f>
        <v>0.97916666666666696</v>
      </c>
      <c r="S29" s="99" t="str">
        <f>VLOOKUP(P29,ГрупаB,6)</f>
        <v>Катар</v>
      </c>
      <c r="T29" s="99"/>
      <c r="U29" s="26">
        <f>IF(OR(V29="",V30=""),0,IF(AND(V29=25,V29-V30&gt;=2),1,IF(V29-V30=2,IF(V29&lt;25,0,1),0)))+IF(OR(W29="",W30="",V29="",V30=""),0,IF(OR(AND(V29=0,V30=0),AND(V29&lt;25,V30&lt;25)),0,IF(AND(W29=25,W29-W30&gt;=2),1,IF(W29-W30=2,IF(W29&lt;25,0,1),0))))+IF(OR(X29="",X30="",W29="",W30="",V29="",V30=""),0,IF(OR(AND(W29=0,W30=0),AND(V29=0,V30=0),AND(W29&lt;25,W30&lt;25),AND(V29&lt;25,V30&lt;25)),0,IF(AND(X29=25,X29-X30&gt;=2),1,IF(X29-X30=2,IF(X29&lt;25,0,1),0))))+IF(OR(Y29="",Y30="",X29="",X30="",W29="",W30="",V29="",V30=""),0,IF(OR(AND(W29=0,W30=0),AND(V29=0,V30=0),AND(X29=0,X30=0),AND(W29&lt;25,W30&lt;25),AND(V29&lt;25,V30&lt;25),AND(X29&lt;25,X30&lt;25)),0,IF(AND(Y29=25,Y29-Y30&gt;=2),1,IF(Y29-Y30=2,IF(Y29&lt;25,0,1),0))))+IF(OR(Z29="",Z30="",Y29="",Y30="",X29="",X30="",W29="",W30="",V29="",V30=""),0,IF(OR(AND(W29=0,W30=0),AND(V29=0,V30=0),AND(X29=0,X30=0),AND(Y29=0,Y30=0),AND(W29&lt;25,W30&lt;25),AND(V29&lt;25,V30&lt;25),AND(X29&lt;25,X30&lt;25),AND(Y29&lt;25,Y30&lt;25)),0,IF(AND(Z29=15,Z29-Z30&gt;=2),1,IF(Z29-Z30=2,IF(Z29&lt;25,0,1),0))))</f>
        <v>0</v>
      </c>
      <c r="V29" s="8"/>
      <c r="W29" s="8"/>
      <c r="X29" s="8"/>
      <c r="Y29" s="8"/>
      <c r="Z29" s="9"/>
      <c r="AA29" s="14">
        <f>IF(U29-U30&gt;=2,3,IF(U29-U30=1,2,IF(U29-U30=-1,1,0)))</f>
        <v>0</v>
      </c>
      <c r="AB29" s="12"/>
      <c r="AC29" s="167">
        <v>6</v>
      </c>
      <c r="AD29" s="163">
        <f>VLOOKUP(AC29,ГрупаС,2)</f>
        <v>44810</v>
      </c>
      <c r="AE29" s="165">
        <f>VLOOKUP(AC29,ГрупаС,4)</f>
        <v>0.97916666666666696</v>
      </c>
      <c r="AF29" s="99" t="str">
        <f>VLOOKUP(AC29,ГрупаС,6)</f>
        <v>България</v>
      </c>
      <c r="AG29" s="99"/>
      <c r="AH29" s="26">
        <f>IF(OR(AI29="",AI30=""),0,IF(AND(AI29=25,AI29-AI30&gt;=2),1,IF(AI29-AI30=2,IF(AI29&lt;25,0,1),0)))+IF(OR(AJ29="",AJ30="",AI29="",AI30=""),0,IF(OR(AND(AI29=0,AI30=0),AND(AI29&lt;25,AI30&lt;25)),0,IF(AND(AJ29=25,AJ29-AJ30&gt;=2),1,IF(AJ29-AJ30=2,IF(AJ29&lt;25,0,1),0))))+IF(OR(AK29="",AK30="",AJ29="",AJ30="",AI29="",AI30=""),0,IF(OR(AND(AJ29=0,AJ30=0),AND(AI29=0,AI30=0),AND(AJ29&lt;25,AJ30&lt;25),AND(AI29&lt;25,AI30&lt;25)),0,IF(AND(AK29=25,AK29-AK30&gt;=2),1,IF(AK29-AK30=2,IF(AK29&lt;25,0,1),0))))+IF(OR(AL29="",AL30="",AK29="",AK30="",AJ29="",AJ30="",AI29="",AI30=""),0,IF(OR(AND(AJ29=0,AJ30=0),AND(AI29=0,AI30=0),AND(AK29=0,AK30=0),AND(AJ29&lt;25,AJ30&lt;25),AND(AI29&lt;25,AI30&lt;25),AND(AK29&lt;25,AK30&lt;25)),0,IF(AND(AL29=25,AL29-AL30&gt;=2),1,IF(AL29-AL30=2,IF(AL29&lt;25,0,1),0))))+IF(OR(AM29="",AM30="",AL29="",AL30="",AK29="",AK30="",AJ29="",AJ30="",AI29="",AI30=""),0,IF(OR(AND(AJ29=0,AJ30=0),AND(AI29=0,AI30=0),AND(AK29=0,AK30=0),AND(AL29=0,AL30=0),AND(AJ29&lt;25,AJ30&lt;25),AND(AI29&lt;25,AI30&lt;25),AND(AK29&lt;25,AK30&lt;25),AND(AL29&lt;25,AL30&lt;25)),0,IF(AND(AM29=15,AM29-AM30&gt;=2),1,IF(AM29-AM30=2,IF(AM29&lt;25,0,1),0))))</f>
        <v>0</v>
      </c>
      <c r="AI29" s="8"/>
      <c r="AJ29" s="8"/>
      <c r="AK29" s="8"/>
      <c r="AL29" s="8"/>
      <c r="AM29" s="9"/>
      <c r="AN29" s="14">
        <f>IF(AH29-AH30&gt;=2,3,IF(AH29-AH30=1,2,IF(AH29-AH30=-1,1,0)))</f>
        <v>0</v>
      </c>
      <c r="AO29" s="12"/>
      <c r="AP29" s="167">
        <v>6</v>
      </c>
      <c r="AQ29" s="163">
        <f>VLOOKUP(AP29,ГрупаD,2)</f>
        <v>44810</v>
      </c>
      <c r="AR29" s="165">
        <f>VLOOKUP(AP29,ГрупаD,4)</f>
        <v>0.97916666666666696</v>
      </c>
      <c r="AS29" s="99" t="str">
        <f>VLOOKUP(AP29,ГрупаD,6)</f>
        <v>Камерун</v>
      </c>
      <c r="AT29" s="99"/>
      <c r="AU29" s="26">
        <f>IF(OR(AV29="",AV30=""),0,IF(AND(AV29=25,AV29-AV30&gt;=2),1,IF(AV29-AV30=2,IF(AV29&lt;25,0,1),0)))+IF(OR(AW29="",AW30="",AV29="",AV30=""),0,IF(OR(AND(AV29=0,AV30=0),AND(AV29&lt;25,AV30&lt;25)),0,IF(AND(AW29=25,AW29-AW30&gt;=2),1,IF(AW29-AW30=2,IF(AW29&lt;25,0,1),0))))+IF(OR(AX29="",AX30="",AW29="",AW30="",AV29="",AV30=""),0,IF(OR(AND(AW29=0,AW30=0),AND(AV29=0,AV30=0),AND(AW29&lt;25,AW30&lt;25),AND(AV29&lt;25,AV30&lt;25)),0,IF(AND(AX29=25,AX29-AX30&gt;=2),1,IF(AX29-AX30=2,IF(AX29&lt;25,0,1),0))))+IF(OR(AY29="",AY30="",AX29="",AX30="",AW29="",AW30="",AV29="",AV30=""),0,IF(OR(AND(AW29=0,AW30=0),AND(AV29=0,AV30=0),AND(AX29=0,AX30=0),AND(AW29&lt;25,AW30&lt;25),AND(AV29&lt;25,AV30&lt;25),AND(AX29&lt;25,AX30&lt;25)),0,IF(AND(AY29=25,AY29-AY30&gt;=2),1,IF(AY29-AY30=2,IF(AY29&lt;25,0,1),0))))+IF(OR(AZ29="",AZ30="",AY29="",AY30="",AX29="",AX30="",AW29="",AW30="",AV29="",AV30=""),0,IF(OR(AND(AW29=0,AW30=0),AND(AV29=0,AV30=0),AND(AX29=0,AX30=0),AND(AY29=0,AY30=0),AND(AW29&lt;25,AW30&lt;25),AND(AV29&lt;25,AV30&lt;25),AND(AX29&lt;25,AX30&lt;25),AND(AY29&lt;25,AY30&lt;25)),0,IF(AND(AZ29=15,AZ29-AZ30&gt;=2),1,IF(AZ29-AZ30=2,IF(AZ29&lt;25,0,1),0))))</f>
        <v>0</v>
      </c>
      <c r="AV29" s="8"/>
      <c r="AW29" s="8"/>
      <c r="AX29" s="8"/>
      <c r="AY29" s="8"/>
      <c r="AZ29" s="9"/>
      <c r="BA29" s="14">
        <f>IF(AU29-AU30&gt;=2,3,IF(AU29-AU30=1,2,IF(AU29-AU30=-1,1,0)))</f>
        <v>0</v>
      </c>
      <c r="BB29" s="12"/>
    </row>
    <row r="30" spans="2:54" ht="15" customHeight="1" thickBot="1" x14ac:dyDescent="0.3">
      <c r="B30" s="12"/>
      <c r="C30" s="168"/>
      <c r="D30" s="164"/>
      <c r="E30" s="166"/>
      <c r="F30" s="88" t="str">
        <f>VLOOKUP(C29,ГрупаА,8)</f>
        <v>Сърбия</v>
      </c>
      <c r="G30" s="88"/>
      <c r="H30" s="32">
        <f>IF(OR(I29="",I30=""),0,IF(AND(I30=25,I30-I29&gt;=2),1,IF(I30-I29=2,IF(I30&lt;25,0,1),0)))+IF(OR(J29="",J30="",I29="",I30=""),0,IF(OR(AND(I29=0,I30=0),AND(I29&lt;25,I30&lt;25)),0,IF(AND(J30=25,J30-J29&gt;=2),1,IF(J30-J29=2,IF(J30&lt;25,0,1),0))))+IF(OR(K29="",K30="",J29="",J30="",I29="",I30=""),0,IF(OR(AND(J29=0,J30=0),AND(I29=0,I30=0),AND(J29&lt;25,J30&lt;25),AND(I29&lt;25,I30&lt;25)),0,IF(AND(K30=25,K30-K29&gt;=2),1,IF(K30-K29=2,IF(K30&lt;25,0,1),0))))+IF(OR(L29="",L30="",K29="",K30="",J29="",J30="",I29="",I30=""),0,IF(OR(AND(J29=0,J30=0),AND(I29=0,I30=0),AND(K29=0,K30=0),AND(J29&lt;25,J30&lt;25),AND(I29&lt;25,I30&lt;25),AND(K29&lt;25,K30&lt;25)),0,IF(AND(L30=25,L30-L29&gt;=2),1,IF(L30-L29=2,IF(L30&lt;25,0,1),0))))+IF(OR(M29="",M30="",L29="",L30="",K29="",K30="",J29="",J30="",I29="",I30=""),0,IF(OR(AND(J29=0,J30=0),AND(I29=0,I30=0),AND(K29=0,K30=0),AND(L29=0,L30=0),AND(J29&lt;25,J30&lt;25),AND(I29&lt;25,I30&lt;25),AND(K29&lt;25,K30&lt;25),AND(L29&lt;25,L30&lt;25)),0,IF(AND(M30=15,M30-M29&gt;=2),1,IF(M30-M29=2,IF(M30&lt;25,0,1),0))))</f>
        <v>0</v>
      </c>
      <c r="I30" s="10"/>
      <c r="J30" s="10"/>
      <c r="K30" s="10"/>
      <c r="L30" s="10"/>
      <c r="M30" s="11"/>
      <c r="N30" s="14">
        <f>IF(H30-H29&gt;=2,3,IF(H30-H29=1,2,IF(H30-H29=-1,1,0)))</f>
        <v>0</v>
      </c>
      <c r="O30" s="12"/>
      <c r="P30" s="168"/>
      <c r="Q30" s="164"/>
      <c r="R30" s="166"/>
      <c r="S30" s="88" t="str">
        <f>VLOOKUP(P29,ГрупаB,8)</f>
        <v>Бразилия</v>
      </c>
      <c r="T30" s="88"/>
      <c r="U30" s="32">
        <f>IF(OR(V29="",V30=""),0,IF(AND(V30=25,V30-V29&gt;=2),1,IF(V30-V29=2,IF(V30&lt;25,0,1),0)))+IF(OR(W29="",W30="",V29="",V30=""),0,IF(OR(AND(V29=0,V30=0),AND(V29&lt;25,V30&lt;25)),0,IF(AND(W30=25,W30-W29&gt;=2),1,IF(W30-W29=2,IF(W30&lt;25,0,1),0))))+IF(OR(X29="",X30="",W29="",W30="",V29="",V30=""),0,IF(OR(AND(W29=0,W30=0),AND(V29=0,V30=0),AND(W29&lt;25,W30&lt;25),AND(V29&lt;25,V30&lt;25)),0,IF(AND(X30=25,X30-X29&gt;=2),1,IF(X30-X29=2,IF(X30&lt;25,0,1),0))))+IF(OR(Y29="",Y30="",X29="",X30="",W29="",W30="",V29="",V30=""),0,IF(OR(AND(W29=0,W30=0),AND(V29=0,V30=0),AND(X29=0,X30=0),AND(W29&lt;25,W30&lt;25),AND(V29&lt;25,V30&lt;25),AND(X29&lt;25,X30&lt;25)),0,IF(AND(Y30=25,Y30-Y29&gt;=2),1,IF(Y30-Y29=2,IF(Y30&lt;25,0,1),0))))+IF(OR(Z29="",Z30="",Y29="",Y30="",X29="",X30="",W29="",W30="",V29="",V30=""),0,IF(OR(AND(W29=0,W30=0),AND(V29=0,V30=0),AND(X29=0,X30=0),AND(Y29=0,Y30=0),AND(W29&lt;25,W30&lt;25),AND(V29&lt;25,V30&lt;25),AND(X29&lt;25,X30&lt;25),AND(Y29&lt;25,Y30&lt;25)),0,IF(AND(Z30=15,Z30-Z29&gt;=2),1,IF(Z30-Z29=2,IF(Z30&lt;25,0,1),0))))</f>
        <v>0</v>
      </c>
      <c r="V30" s="10"/>
      <c r="W30" s="10"/>
      <c r="X30" s="10"/>
      <c r="Y30" s="10"/>
      <c r="Z30" s="11"/>
      <c r="AA30" s="14">
        <f>IF(U30-U29&gt;=2,3,IF(U30-U29=1,2,IF(U30-U29=-1,1,0)))</f>
        <v>0</v>
      </c>
      <c r="AB30" s="12"/>
      <c r="AC30" s="168"/>
      <c r="AD30" s="164"/>
      <c r="AE30" s="166"/>
      <c r="AF30" s="88" t="str">
        <f>VLOOKUP(AC29,ГрупаС,8)</f>
        <v>Полша</v>
      </c>
      <c r="AG30" s="88"/>
      <c r="AH30" s="32">
        <f>IF(OR(AI29="",AI30=""),0,IF(AND(AI30=25,AI30-AI29&gt;=2),1,IF(AI30-AI29=2,IF(AI30&lt;25,0,1),0)))+IF(OR(AJ29="",AJ30="",AI29="",AI30=""),0,IF(OR(AND(AI29=0,AI30=0),AND(AI29&lt;25,AI30&lt;25)),0,IF(AND(AJ30=25,AJ30-AJ29&gt;=2),1,IF(AJ30-AJ29=2,IF(AJ30&lt;25,0,1),0))))+IF(OR(AK29="",AK30="",AJ29="",AJ30="",AI29="",AI30=""),0,IF(OR(AND(AJ29=0,AJ30=0),AND(AI29=0,AI30=0),AND(AJ29&lt;25,AJ30&lt;25),AND(AI29&lt;25,AI30&lt;25)),0,IF(AND(AK30=25,AK30-AK29&gt;=2),1,IF(AK30-AK29=2,IF(AK30&lt;25,0,1),0))))+IF(OR(AL29="",AL30="",AK29="",AK30="",AJ29="",AJ30="",AI29="",AI30=""),0,IF(OR(AND(AJ29=0,AJ30=0),AND(AI29=0,AI30=0),AND(AK29=0,AK30=0),AND(AJ29&lt;25,AJ30&lt;25),AND(AI29&lt;25,AI30&lt;25),AND(AK29&lt;25,AK30&lt;25)),0,IF(AND(AL30=25,AL30-AL29&gt;=2),1,IF(AL30-AL29=2,IF(AL30&lt;25,0,1),0))))+IF(OR(AM29="",AM30="",AL29="",AL30="",AK29="",AK30="",AJ29="",AJ30="",AI29="",AI30=""),0,IF(OR(AND(AJ29=0,AJ30=0),AND(AI29=0,AI30=0),AND(AK29=0,AK30=0),AND(AL29=0,AL30=0),AND(AJ29&lt;25,AJ30&lt;25),AND(AI29&lt;25,AI30&lt;25),AND(AK29&lt;25,AK30&lt;25),AND(AL29&lt;25,AL30&lt;25)),0,IF(AND(AM30=15,AM30-AM29&gt;=2),1,IF(AM30-AM29=2,IF(AM30&lt;25,0,1),0))))</f>
        <v>0</v>
      </c>
      <c r="AI30" s="10"/>
      <c r="AJ30" s="10"/>
      <c r="AK30" s="10"/>
      <c r="AL30" s="10"/>
      <c r="AM30" s="11"/>
      <c r="AN30" s="14">
        <f>IF(AH30-AH29&gt;=2,3,IF(AH30-AH29=1,2,IF(AH30-AH29=-1,1,0)))</f>
        <v>0</v>
      </c>
      <c r="AO30" s="12"/>
      <c r="AP30" s="168"/>
      <c r="AQ30" s="164"/>
      <c r="AR30" s="166"/>
      <c r="AS30" s="88" t="str">
        <f>VLOOKUP(AP29,ГрупаD,8)</f>
        <v>Франция</v>
      </c>
      <c r="AT30" s="88"/>
      <c r="AU30" s="32">
        <f>IF(OR(AV29="",AV30=""),0,IF(AND(AV30=25,AV30-AV29&gt;=2),1,IF(AV30-AV29=2,IF(AV30&lt;25,0,1),0)))+IF(OR(AW29="",AW30="",AV29="",AV30=""),0,IF(OR(AND(AV29=0,AV30=0),AND(AV29&lt;25,AV30&lt;25)),0,IF(AND(AW30=25,AW30-AW29&gt;=2),1,IF(AW30-AW29=2,IF(AW30&lt;25,0,1),0))))+IF(OR(AX29="",AX30="",AW29="",AW30="",AV29="",AV30=""),0,IF(OR(AND(AW29=0,AW30=0),AND(AV29=0,AV30=0),AND(AW29&lt;25,AW30&lt;25),AND(AV29&lt;25,AV30&lt;25)),0,IF(AND(AX30=25,AX30-AX29&gt;=2),1,IF(AX30-AX29=2,IF(AX30&lt;25,0,1),0))))+IF(OR(AY29="",AY30="",AX29="",AX30="",AW29="",AW30="",AV29="",AV30=""),0,IF(OR(AND(AW29=0,AW30=0),AND(AV29=0,AV30=0),AND(AX29=0,AX30=0),AND(AW29&lt;25,AW30&lt;25),AND(AV29&lt;25,AV30&lt;25),AND(AX29&lt;25,AX30&lt;25)),0,IF(AND(AY30=25,AY30-AY29&gt;=2),1,IF(AY30-AY29=2,IF(AY30&lt;25,0,1),0))))+IF(OR(AZ29="",AZ30="",AY29="",AY30="",AX29="",AX30="",AW29="",AW30="",AV29="",AV30=""),0,IF(OR(AND(AW29=0,AW30=0),AND(AV29=0,AV30=0),AND(AX29=0,AX30=0),AND(AY29=0,AY30=0),AND(AW29&lt;25,AW30&lt;25),AND(AV29&lt;25,AV30&lt;25),AND(AX29&lt;25,AX30&lt;25),AND(AY29&lt;25,AY30&lt;25)),0,IF(AND(AZ30=15,AZ30-AZ29&gt;=2),1,IF(AZ30-AZ29=2,IF(AZ30&lt;25,0,1),0))))</f>
        <v>0</v>
      </c>
      <c r="AV30" s="10"/>
      <c r="AW30" s="10"/>
      <c r="AX30" s="10"/>
      <c r="AY30" s="10"/>
      <c r="AZ30" s="11"/>
      <c r="BA30" s="14">
        <f>IF(AU30-AU29&gt;=2,3,IF(AU30-AU29=1,2,IF(AU30-AU29=-1,1,0)))</f>
        <v>0</v>
      </c>
      <c r="BB30" s="12"/>
    </row>
    <row r="31" spans="2:54" x14ac:dyDescent="0.25"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</row>
    <row r="32" spans="2:54" x14ac:dyDescent="0.25"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</row>
    <row r="33" spans="2:54" ht="15" customHeight="1" x14ac:dyDescent="0.25"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</row>
    <row r="34" spans="2:54" ht="15" customHeight="1" thickBot="1" x14ac:dyDescent="0.3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</row>
    <row r="35" spans="2:54" x14ac:dyDescent="0.25">
      <c r="B35" s="12"/>
      <c r="C35" s="120" t="s">
        <v>41</v>
      </c>
      <c r="D35" s="121"/>
      <c r="E35" s="121"/>
      <c r="F35" s="121"/>
      <c r="G35" s="121"/>
      <c r="H35" s="121"/>
      <c r="I35" s="121"/>
      <c r="J35" s="121"/>
      <c r="K35" s="121"/>
      <c r="L35" s="121"/>
      <c r="M35" s="122"/>
      <c r="O35" s="12"/>
      <c r="P35" s="120" t="s">
        <v>42</v>
      </c>
      <c r="Q35" s="121"/>
      <c r="R35" s="121"/>
      <c r="S35" s="121"/>
      <c r="T35" s="121"/>
      <c r="U35" s="121"/>
      <c r="V35" s="121"/>
      <c r="W35" s="121"/>
      <c r="X35" s="121"/>
      <c r="Y35" s="121"/>
      <c r="Z35" s="122"/>
      <c r="AB35" s="12"/>
      <c r="AC35" s="120" t="s">
        <v>43</v>
      </c>
      <c r="AD35" s="121"/>
      <c r="AE35" s="121"/>
      <c r="AF35" s="121"/>
      <c r="AG35" s="121"/>
      <c r="AH35" s="121"/>
      <c r="AI35" s="121"/>
      <c r="AJ35" s="121"/>
      <c r="AK35" s="121"/>
      <c r="AL35" s="121"/>
      <c r="AM35" s="122"/>
      <c r="AO35" s="12"/>
      <c r="AP35" s="120" t="s">
        <v>44</v>
      </c>
      <c r="AQ35" s="121"/>
      <c r="AR35" s="121"/>
      <c r="AS35" s="121"/>
      <c r="AT35" s="121"/>
      <c r="AU35" s="121"/>
      <c r="AV35" s="121"/>
      <c r="AW35" s="121"/>
      <c r="AX35" s="121"/>
      <c r="AY35" s="121"/>
      <c r="AZ35" s="122"/>
      <c r="BB35" s="12"/>
    </row>
    <row r="36" spans="2:54" ht="15.75" thickBot="1" x14ac:dyDescent="0.3">
      <c r="B36" s="12"/>
      <c r="C36" s="123"/>
      <c r="D36" s="124"/>
      <c r="E36" s="124"/>
      <c r="F36" s="124"/>
      <c r="G36" s="124"/>
      <c r="H36" s="124"/>
      <c r="I36" s="124"/>
      <c r="J36" s="124"/>
      <c r="K36" s="124"/>
      <c r="L36" s="124"/>
      <c r="M36" s="125"/>
      <c r="O36" s="12"/>
      <c r="P36" s="123"/>
      <c r="Q36" s="124"/>
      <c r="R36" s="124"/>
      <c r="S36" s="124"/>
      <c r="T36" s="124"/>
      <c r="U36" s="124"/>
      <c r="V36" s="124"/>
      <c r="W36" s="124"/>
      <c r="X36" s="124"/>
      <c r="Y36" s="124"/>
      <c r="Z36" s="125"/>
      <c r="AB36" s="12"/>
      <c r="AC36" s="123"/>
      <c r="AD36" s="124"/>
      <c r="AE36" s="124"/>
      <c r="AF36" s="124"/>
      <c r="AG36" s="124"/>
      <c r="AH36" s="124"/>
      <c r="AI36" s="124"/>
      <c r="AJ36" s="124"/>
      <c r="AK36" s="124"/>
      <c r="AL36" s="124"/>
      <c r="AM36" s="125"/>
      <c r="AO36" s="12"/>
      <c r="AP36" s="123"/>
      <c r="AQ36" s="124"/>
      <c r="AR36" s="124"/>
      <c r="AS36" s="124"/>
      <c r="AT36" s="124"/>
      <c r="AU36" s="124"/>
      <c r="AV36" s="124"/>
      <c r="AW36" s="124"/>
      <c r="AX36" s="124"/>
      <c r="AY36" s="124"/>
      <c r="AZ36" s="125"/>
      <c r="BB36" s="12"/>
    </row>
    <row r="37" spans="2:54" ht="15.75" thickBot="1" x14ac:dyDescent="0.3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</row>
    <row r="38" spans="2:54" x14ac:dyDescent="0.25">
      <c r="B38" s="12"/>
      <c r="C38" s="58" t="s">
        <v>20</v>
      </c>
      <c r="D38" s="59" t="s">
        <v>21</v>
      </c>
      <c r="E38" s="59" t="s">
        <v>22</v>
      </c>
      <c r="F38" s="84" t="s">
        <v>23</v>
      </c>
      <c r="G38" s="84"/>
      <c r="H38" s="59" t="s">
        <v>11</v>
      </c>
      <c r="I38" s="59" t="s">
        <v>24</v>
      </c>
      <c r="J38" s="59" t="s">
        <v>25</v>
      </c>
      <c r="K38" s="59" t="s">
        <v>26</v>
      </c>
      <c r="L38" s="59" t="s">
        <v>27</v>
      </c>
      <c r="M38" s="60" t="s">
        <v>28</v>
      </c>
      <c r="O38" s="12"/>
      <c r="P38" s="58" t="s">
        <v>20</v>
      </c>
      <c r="Q38" s="59" t="s">
        <v>21</v>
      </c>
      <c r="R38" s="59" t="s">
        <v>22</v>
      </c>
      <c r="S38" s="84" t="s">
        <v>23</v>
      </c>
      <c r="T38" s="84"/>
      <c r="U38" s="59" t="s">
        <v>11</v>
      </c>
      <c r="V38" s="59" t="s">
        <v>24</v>
      </c>
      <c r="W38" s="59" t="s">
        <v>25</v>
      </c>
      <c r="X38" s="59" t="s">
        <v>26</v>
      </c>
      <c r="Y38" s="59" t="s">
        <v>27</v>
      </c>
      <c r="Z38" s="60" t="s">
        <v>28</v>
      </c>
      <c r="AB38" s="12"/>
      <c r="AC38" s="58" t="s">
        <v>20</v>
      </c>
      <c r="AD38" s="59" t="s">
        <v>21</v>
      </c>
      <c r="AE38" s="59" t="s">
        <v>22</v>
      </c>
      <c r="AF38" s="84" t="s">
        <v>23</v>
      </c>
      <c r="AG38" s="84"/>
      <c r="AH38" s="59" t="s">
        <v>11</v>
      </c>
      <c r="AI38" s="59" t="s">
        <v>24</v>
      </c>
      <c r="AJ38" s="59" t="s">
        <v>25</v>
      </c>
      <c r="AK38" s="59" t="s">
        <v>26</v>
      </c>
      <c r="AL38" s="59" t="s">
        <v>27</v>
      </c>
      <c r="AM38" s="60" t="s">
        <v>28</v>
      </c>
      <c r="AO38" s="12"/>
      <c r="AP38" s="58" t="s">
        <v>20</v>
      </c>
      <c r="AQ38" s="59" t="s">
        <v>21</v>
      </c>
      <c r="AR38" s="59" t="s">
        <v>22</v>
      </c>
      <c r="AS38" s="84" t="s">
        <v>23</v>
      </c>
      <c r="AT38" s="84"/>
      <c r="AU38" s="59" t="s">
        <v>11</v>
      </c>
      <c r="AV38" s="59" t="s">
        <v>24</v>
      </c>
      <c r="AW38" s="59" t="s">
        <v>25</v>
      </c>
      <c r="AX38" s="59" t="s">
        <v>26</v>
      </c>
      <c r="AY38" s="59" t="s">
        <v>27</v>
      </c>
      <c r="AZ38" s="60" t="s">
        <v>28</v>
      </c>
      <c r="BB38" s="12"/>
    </row>
    <row r="39" spans="2:54" x14ac:dyDescent="0.25">
      <c r="B39" s="12"/>
      <c r="C39" s="167">
        <v>1</v>
      </c>
      <c r="D39" s="163">
        <f>VLOOKUP(C39,Ел41,2)</f>
        <v>44811</v>
      </c>
      <c r="E39" s="165">
        <f>VLOOKUP(C39,Ел41,4)</f>
        <v>0.875</v>
      </c>
      <c r="F39" s="99" t="str">
        <f>VLOOKUP(C39,Ел41,6)</f>
        <v>Сърбия</v>
      </c>
      <c r="G39" s="99"/>
      <c r="H39" s="26">
        <f>IF(OR(I39="",I40=""),0,IF(AND(I39=25,I39-I40&gt;=2),1,IF(I39-I40=2,IF(I39&lt;25,0,1),0)))+IF(OR(J39="",J40="",I39="",I40=""),0,IF(OR(AND(I39=0,I40=0),AND(I39&lt;25,I40&lt;25)),0,IF(AND(J39=25,J39-J40&gt;=2),1,IF(J39-J40=2,IF(J39&lt;25,0,1),0))))+IF(OR(K39="",K40="",J39="",J40="",I39="",I40=""),0,IF(OR(AND(J39=0,J40=0),AND(I39=0,I40=0),AND(J39&lt;25,J40&lt;25),AND(I39&lt;25,I40&lt;25)),0,IF(AND(K39=25,K39-K40&gt;=2),1,IF(K39-K40=2,IF(K39&lt;25,0,1),0))))+IF(OR(L39="",L40="",K39="",K40="",J39="",J40="",I39="",I40=""),0,IF(OR(AND(J39=0,J40=0),AND(I39=0,I40=0),AND(K39=0,K40=0),AND(J39&lt;25,J40&lt;25),AND(I39&lt;25,I40&lt;25),AND(K39&lt;25,K40&lt;25)),0,IF(AND(L39=25,L39-L40&gt;=2),1,IF(L39-L40=2,IF(L39&lt;25,0,1),0))))+IF(OR(M39="",M40="",L39="",L40="",K39="",K40="",J39="",J40="",I39="",I40=""),0,IF(OR(AND(J39=0,J40=0),AND(I39=0,I40=0),AND(K39=0,K40=0),AND(L39=0,L40=0),AND(J39&lt;25,J40&lt;25),AND(I39&lt;25,I40&lt;25),AND(K39&lt;25,K40&lt;25),AND(L39&lt;25,L40&lt;25)),0,IF(AND(M39=15,M39-M40&gt;=2),1,IF(M39-M40=2,IF(M39&lt;25,0,1),0))))</f>
        <v>0</v>
      </c>
      <c r="I39" s="8"/>
      <c r="J39" s="8"/>
      <c r="K39" s="8"/>
      <c r="L39" s="8"/>
      <c r="M39" s="9"/>
      <c r="O39" s="12"/>
      <c r="P39" s="167">
        <v>1</v>
      </c>
      <c r="Q39" s="163">
        <f>VLOOKUP(P39,Ел42,2)</f>
        <v>44811</v>
      </c>
      <c r="R39" s="165">
        <f>VLOOKUP(P39,Ел42,4)</f>
        <v>0.91666666666666663</v>
      </c>
      <c r="S39" s="99" t="str">
        <f>VLOOKUP(P39,Ел42,6)</f>
        <v>Тунис</v>
      </c>
      <c r="T39" s="99"/>
      <c r="U39" s="26">
        <f>IF(OR(V39="",V40=""),0,IF(AND(V39=25,V39-V40&gt;=2),1,IF(V39-V40=2,IF(V39&lt;25,0,1),0)))+IF(OR(W39="",W40="",V39="",V40=""),0,IF(OR(AND(V39=0,V40=0),AND(V39&lt;25,V40&lt;25)),0,IF(AND(W39=25,W39-W40&gt;=2),1,IF(W39-W40=2,IF(W39&lt;25,0,1),0))))+IF(OR(X39="",X40="",W39="",W40="",V39="",V40=""),0,IF(OR(AND(W39=0,W40=0),AND(V39=0,V40=0),AND(W39&lt;25,W40&lt;25),AND(V39&lt;25,V40&lt;25)),0,IF(AND(X39=25,X39-X40&gt;=2),1,IF(X39-X40=2,IF(X39&lt;25,0,1),0))))+IF(OR(Y39="",Y40="",X39="",X40="",W39="",W40="",V39="",V40=""),0,IF(OR(AND(W39=0,W40=0),AND(V39=0,V40=0),AND(X39=0,X40=0),AND(W39&lt;25,W40&lt;25),AND(V39&lt;25,V40&lt;25),AND(X39&lt;25,X40&lt;25)),0,IF(AND(Y39=25,Y39-Y40&gt;=2),1,IF(Y39-Y40=2,IF(Y39&lt;25,0,1),0))))+IF(OR(Z39="",Z40="",Y39="",Y40="",X39="",X40="",W39="",W40="",V39="",V40=""),0,IF(OR(AND(W39=0,W40=0),AND(V39=0,V40=0),AND(X39=0,X40=0),AND(Y39=0,Y40=0),AND(W39&lt;25,W40&lt;25),AND(V39&lt;25,V40&lt;25),AND(X39&lt;25,X40&lt;25),AND(Y39&lt;25,Y40&lt;25)),0,IF(AND(Z39=15,Z39-Z40&gt;=2),1,IF(Z39-Z40=2,IF(Z39&lt;25,0,1),0))))</f>
        <v>0</v>
      </c>
      <c r="V39" s="8"/>
      <c r="W39" s="8"/>
      <c r="X39" s="8"/>
      <c r="Y39" s="8"/>
      <c r="Z39" s="9"/>
      <c r="AB39" s="12"/>
      <c r="AC39" s="167">
        <v>1</v>
      </c>
      <c r="AD39" s="163">
        <f>VLOOKUP(AC39,Ел43,2)</f>
        <v>44812</v>
      </c>
      <c r="AE39" s="165">
        <f>VLOOKUP(AC39,Ел43,4)</f>
        <v>0.91666666666666663</v>
      </c>
      <c r="AF39" s="99" t="str">
        <f>VLOOKUP(AC39,Ел43,6)</f>
        <v>Полша</v>
      </c>
      <c r="AG39" s="99"/>
      <c r="AH39" s="26">
        <f>IF(OR(AI39="",AI40=""),0,IF(AND(AI39=25,AI39-AI40&gt;=2),1,IF(AI39-AI40=2,IF(AI39&lt;25,0,1),0)))+IF(OR(AJ39="",AJ40="",AI39="",AI40=""),0,IF(OR(AND(AI39=0,AI40=0),AND(AI39&lt;25,AI40&lt;25)),0,IF(AND(AJ39=25,AJ39-AJ40&gt;=2),1,IF(AJ39-AJ40=2,IF(AJ39&lt;25,0,1),0))))+IF(OR(AK39="",AK40="",AJ39="",AJ40="",AI39="",AI40=""),0,IF(OR(AND(AJ39=0,AJ40=0),AND(AI39=0,AI40=0),AND(AJ39&lt;25,AJ40&lt;25),AND(AI39&lt;25,AI40&lt;25)),0,IF(AND(AK39=25,AK39-AK40&gt;=2),1,IF(AK39-AK40=2,IF(AK39&lt;25,0,1),0))))+IF(OR(AL39="",AL40="",AK39="",AK40="",AJ39="",AJ40="",AI39="",AI40=""),0,IF(OR(AND(AJ39=0,AJ40=0),AND(AI39=0,AI40=0),AND(AK39=0,AK40=0),AND(AJ39&lt;25,AJ40&lt;25),AND(AI39&lt;25,AI40&lt;25),AND(AK39&lt;25,AK40&lt;25)),0,IF(AND(AL39=25,AL39-AL40&gt;=2),1,IF(AL39-AL40=2,IF(AL39&lt;25,0,1),0))))+IF(OR(AM39="",AM40="",AL39="",AL40="",AK39="",AK40="",AJ39="",AJ40="",AI39="",AI40=""),0,IF(OR(AND(AJ39=0,AJ40=0),AND(AI39=0,AI40=0),AND(AK39=0,AK40=0),AND(AL39=0,AL40=0),AND(AJ39&lt;25,AJ40&lt;25),AND(AI39&lt;25,AI40&lt;25),AND(AK39&lt;25,AK40&lt;25),AND(AL39&lt;25,AL40&lt;25)),0,IF(AND(AM39=15,AM39-AM40&gt;=2),1,IF(AM39-AM40=2,IF(AM39&lt;25,0,1),0))))</f>
        <v>0</v>
      </c>
      <c r="AI39" s="8"/>
      <c r="AJ39" s="8"/>
      <c r="AK39" s="8"/>
      <c r="AL39" s="8"/>
      <c r="AM39" s="9"/>
      <c r="AO39" s="12"/>
      <c r="AP39" s="167">
        <v>1</v>
      </c>
      <c r="AQ39" s="163">
        <f>VLOOKUP(AP39,Ел44,2)</f>
        <v>44812</v>
      </c>
      <c r="AR39" s="165">
        <f>VLOOKUP(AP39,Ел44,4)</f>
        <v>0.83333333333333337</v>
      </c>
      <c r="AS39" s="99" t="str">
        <f>VLOOKUP(AP39,Ел44,6)</f>
        <v>Мексико</v>
      </c>
      <c r="AT39" s="99"/>
      <c r="AU39" s="26">
        <f>IF(OR(AV39="",AV40=""),0,IF(AND(AV39=25,AV39-AV40&gt;=2),1,IF(AV39-AV40=2,IF(AV39&lt;25,0,1),0)))+IF(OR(AW39="",AW40="",AV39="",AV40=""),0,IF(OR(AND(AV39=0,AV40=0),AND(AV39&lt;25,AV40&lt;25)),0,IF(AND(AW39=25,AW39-AW40&gt;=2),1,IF(AW39-AW40=2,IF(AW39&lt;25,0,1),0))))+IF(OR(AX39="",AX40="",AW39="",AW40="",AV39="",AV40=""),0,IF(OR(AND(AW39=0,AW40=0),AND(AV39=0,AV40=0),AND(AW39&lt;25,AW40&lt;25),AND(AV39&lt;25,AV40&lt;25)),0,IF(AND(AX39=25,AX39-AX40&gt;=2),1,IF(AX39-AX40=2,IF(AX39&lt;25,0,1),0))))+IF(OR(AY39="",AY40="",AX39="",AX40="",AW39="",AW40="",AV39="",AV40=""),0,IF(OR(AND(AW39=0,AW40=0),AND(AV39=0,AV40=0),AND(AX39=0,AX40=0),AND(AW39&lt;25,AW40&lt;25),AND(AV39&lt;25,AV40&lt;25),AND(AX39&lt;25,AX40&lt;25)),0,IF(AND(AY39=25,AY39-AY40&gt;=2),1,IF(AY39-AY40=2,IF(AY39&lt;25,0,1),0))))+IF(OR(AZ39="",AZ40="",AY39="",AY40="",AX39="",AX40="",AW39="",AW40="",AV39="",AV40=""),0,IF(OR(AND(AW39=0,AW40=0),AND(AV39=0,AV40=0),AND(AX39=0,AX40=0),AND(AY39=0,AY40=0),AND(AW39&lt;25,AW40&lt;25),AND(AV39&lt;25,AV40&lt;25),AND(AX39&lt;25,AX40&lt;25),AND(AY39&lt;25,AY40&lt;25)),0,IF(AND(AZ39=15,AZ39-AZ40&gt;=2),1,IF(AZ39-AZ40=2,IF(AZ39&lt;25,0,1),0))))</f>
        <v>0</v>
      </c>
      <c r="AV39" s="8"/>
      <c r="AW39" s="8"/>
      <c r="AX39" s="8"/>
      <c r="AY39" s="8"/>
      <c r="AZ39" s="9"/>
      <c r="BB39" s="12"/>
    </row>
    <row r="40" spans="2:54" ht="15.75" thickBot="1" x14ac:dyDescent="0.3">
      <c r="B40" s="12"/>
      <c r="C40" s="168"/>
      <c r="D40" s="164"/>
      <c r="E40" s="166"/>
      <c r="F40" s="88" t="str">
        <f>VLOOKUP(C39,Ел41,8)</f>
        <v>Бразилия</v>
      </c>
      <c r="G40" s="88"/>
      <c r="H40" s="32">
        <f>IF(OR(I39="",I40=""),0,IF(AND(I40=25,I40-I39&gt;=2),1,IF(I40-I39=2,IF(I40&lt;25,0,1),0)))+IF(OR(J39="",J40="",I39="",I40=""),0,IF(OR(AND(I39=0,I40=0),AND(I39&lt;25,I40&lt;25)),0,IF(AND(J40=25,J40-J39&gt;=2),1,IF(J40-J39=2,IF(J40&lt;25,0,1),0))))+IF(OR(K39="",K40="",J39="",J40="",I39="",I40=""),0,IF(OR(AND(J39=0,J40=0),AND(I39=0,I40=0),AND(J39&lt;25,J40&lt;25),AND(I39&lt;25,I40&lt;25)),0,IF(AND(K40=25,K40-K39&gt;=2),1,IF(K40-K39=2,IF(K40&lt;25,0,1),0))))+IF(OR(L39="",L40="",K39="",K40="",J39="",J40="",I39="",I40=""),0,IF(OR(AND(J39=0,J40=0),AND(I39=0,I40=0),AND(K39=0,K40=0),AND(J39&lt;25,J40&lt;25),AND(I39&lt;25,I40&lt;25),AND(K39&lt;25,K40&lt;25)),0,IF(AND(L40=25,L40-L39&gt;=2),1,IF(L40-L39=2,IF(L40&lt;25,0,1),0))))+IF(OR(M39="",M40="",L39="",L40="",K39="",K40="",J39="",J40="",I39="",I40=""),0,IF(OR(AND(J39=0,J40=0),AND(I39=0,I40=0),AND(K39=0,K40=0),AND(L39=0,L40=0),AND(J39&lt;25,J40&lt;25),AND(I39&lt;25,I40&lt;25),AND(K39&lt;25,K40&lt;25),AND(L39&lt;25,L40&lt;25)),0,IF(AND(M40=15,M40-M39&gt;=2),1,IF(M40-M39=2,IF(M40&lt;25,0,1),0))))</f>
        <v>0</v>
      </c>
      <c r="I40" s="10"/>
      <c r="J40" s="10"/>
      <c r="K40" s="10"/>
      <c r="L40" s="10"/>
      <c r="M40" s="11"/>
      <c r="O40" s="12"/>
      <c r="P40" s="168"/>
      <c r="Q40" s="164"/>
      <c r="R40" s="166"/>
      <c r="S40" s="88" t="str">
        <f>VLOOKUP(P39,Ел42,8)</f>
        <v>Куба</v>
      </c>
      <c r="T40" s="88"/>
      <c r="U40" s="32">
        <f>IF(OR(V39="",V40=""),0,IF(AND(V40=25,V40-V39&gt;=2),1,IF(V40-V39=2,IF(V40&lt;25,0,1),0)))+IF(OR(W39="",W40="",V39="",V40=""),0,IF(OR(AND(V39=0,V40=0),AND(V39&lt;25,V40&lt;25)),0,IF(AND(W40=25,W40-W39&gt;=2),1,IF(W40-W39=2,IF(W40&lt;25,0,1),0))))+IF(OR(X39="",X40="",W39="",W40="",V39="",V40=""),0,IF(OR(AND(W39=0,W40=0),AND(V39=0,V40=0),AND(W39&lt;25,W40&lt;25),AND(V39&lt;25,V40&lt;25)),0,IF(AND(X40=25,X40-X39&gt;=2),1,IF(X40-X39=2,IF(X40&lt;25,0,1),0))))+IF(OR(Y39="",Y40="",X39="",X40="",W39="",W40="",V39="",V40=""),0,IF(OR(AND(W39=0,W40=0),AND(V39=0,V40=0),AND(X39=0,X40=0),AND(W39&lt;25,W40&lt;25),AND(V39&lt;25,V40&lt;25),AND(X39&lt;25,X40&lt;25)),0,IF(AND(Y40=25,Y40-Y39&gt;=2),1,IF(Y40-Y39=2,IF(Y40&lt;25,0,1),0))))+IF(OR(Z39="",Z40="",Y39="",Y40="",X39="",X40="",W39="",W40="",V39="",V40=""),0,IF(OR(AND(W39=0,W40=0),AND(V39=0,V40=0),AND(X39=0,X40=0),AND(Y39=0,Y40=0),AND(W39&lt;25,W40&lt;25),AND(V39&lt;25,V40&lt;25),AND(X39&lt;25,X40&lt;25),AND(Y39&lt;25,Y40&lt;25)),0,IF(AND(Z40=15,Z40-Z39&gt;=2),1,IF(Z40-Z39=2,IF(Z40&lt;25,0,1),0))))</f>
        <v>0</v>
      </c>
      <c r="V40" s="10"/>
      <c r="W40" s="10"/>
      <c r="X40" s="10"/>
      <c r="Y40" s="10"/>
      <c r="Z40" s="11"/>
      <c r="AB40" s="12"/>
      <c r="AC40" s="168"/>
      <c r="AD40" s="164"/>
      <c r="AE40" s="166"/>
      <c r="AF40" s="88" t="str">
        <f>VLOOKUP(AC39,Ел43,8)</f>
        <v>Словения</v>
      </c>
      <c r="AG40" s="88"/>
      <c r="AH40" s="32">
        <f>IF(OR(AI39="",AI40=""),0,IF(AND(AI40=25,AI40-AI39&gt;=2),1,IF(AI40-AI39=2,IF(AI40&lt;25,0,1),0)))+IF(OR(AJ39="",AJ40="",AI39="",AI40=""),0,IF(OR(AND(AI39=0,AI40=0),AND(AI39&lt;25,AI40&lt;25)),0,IF(AND(AJ40=25,AJ40-AJ39&gt;=2),1,IF(AJ40-AJ39=2,IF(AJ40&lt;25,0,1),0))))+IF(OR(AK39="",AK40="",AJ39="",AJ40="",AI39="",AI40=""),0,IF(OR(AND(AJ39=0,AJ40=0),AND(AI39=0,AI40=0),AND(AJ39&lt;25,AJ40&lt;25),AND(AI39&lt;25,AI40&lt;25)),0,IF(AND(AK40=25,AK40-AK39&gt;=2),1,IF(AK40-AK39=2,IF(AK40&lt;25,0,1),0))))+IF(OR(AL39="",AL40="",AK39="",AK40="",AJ39="",AJ40="",AI39="",AI40=""),0,IF(OR(AND(AJ39=0,AJ40=0),AND(AI39=0,AI40=0),AND(AK39=0,AK40=0),AND(AJ39&lt;25,AJ40&lt;25),AND(AI39&lt;25,AI40&lt;25),AND(AK39&lt;25,AK40&lt;25)),0,IF(AND(AL40=25,AL40-AL39&gt;=2),1,IF(AL40-AL39=2,IF(AL40&lt;25,0,1),0))))+IF(OR(AM39="",AM40="",AL39="",AL40="",AK39="",AK40="",AJ39="",AJ40="",AI39="",AI40=""),0,IF(OR(AND(AJ39=0,AJ40=0),AND(AI39=0,AI40=0),AND(AK39=0,AK40=0),AND(AL39=0,AL40=0),AND(AJ39&lt;25,AJ40&lt;25),AND(AI39&lt;25,AI40&lt;25),AND(AK39&lt;25,AK40&lt;25),AND(AL39&lt;25,AL40&lt;25)),0,IF(AND(AM40=15,AM40-AM39&gt;=2),1,IF(AM40-AM39=2,IF(AM40&lt;25,0,1),0))))</f>
        <v>0</v>
      </c>
      <c r="AI40" s="10"/>
      <c r="AJ40" s="10"/>
      <c r="AK40" s="10"/>
      <c r="AL40" s="10"/>
      <c r="AM40" s="11"/>
      <c r="AO40" s="12"/>
      <c r="AP40" s="168"/>
      <c r="AQ40" s="164"/>
      <c r="AR40" s="166"/>
      <c r="AS40" s="88" t="str">
        <f>VLOOKUP(AP39,Ел44,8)</f>
        <v>Франция</v>
      </c>
      <c r="AT40" s="88"/>
      <c r="AU40" s="32">
        <f>IF(OR(AV39="",AV40=""),0,IF(AND(AV40=25,AV40-AV39&gt;=2),1,IF(AV40-AV39=2,IF(AV40&lt;25,0,1),0)))+IF(OR(AW39="",AW40="",AV39="",AV40=""),0,IF(OR(AND(AV39=0,AV40=0),AND(AV39&lt;25,AV40&lt;25)),0,IF(AND(AW40=25,AW40-AW39&gt;=2),1,IF(AW40-AW39=2,IF(AW40&lt;25,0,1),0))))+IF(OR(AX39="",AX40="",AW39="",AW40="",AV39="",AV40=""),0,IF(OR(AND(AW39=0,AW40=0),AND(AV39=0,AV40=0),AND(AW39&lt;25,AW40&lt;25),AND(AV39&lt;25,AV40&lt;25)),0,IF(AND(AX40=25,AX40-AX39&gt;=2),1,IF(AX40-AX39=2,IF(AX40&lt;25,0,1),0))))+IF(OR(AY39="",AY40="",AX39="",AX40="",AW39="",AW40="",AV39="",AV40=""),0,IF(OR(AND(AW39=0,AW40=0),AND(AV39=0,AV40=0),AND(AX39=0,AX40=0),AND(AW39&lt;25,AW40&lt;25),AND(AV39&lt;25,AV40&lt;25),AND(AX39&lt;25,AX40&lt;25)),0,IF(AND(AY40=25,AY40-AY39&gt;=2),1,IF(AY40-AY39=2,IF(AY40&lt;25,0,1),0))))+IF(OR(AZ39="",AZ40="",AY39="",AY40="",AX39="",AX40="",AW39="",AW40="",AV39="",AV40=""),0,IF(OR(AND(AW39=0,AW40=0),AND(AV39=0,AV40=0),AND(AX39=0,AX40=0),AND(AY39=0,AY40=0),AND(AW39&lt;25,AW40&lt;25),AND(AV39&lt;25,AV40&lt;25),AND(AX39&lt;25,AX40&lt;25),AND(AY39&lt;25,AY40&lt;25)),0,IF(AND(AZ40=15,AZ40-AZ39&gt;=2),1,IF(AZ40-AZ39=2,IF(AZ40&lt;25,0,1),0))))</f>
        <v>0</v>
      </c>
      <c r="AV40" s="10"/>
      <c r="AW40" s="10"/>
      <c r="AX40" s="10"/>
      <c r="AY40" s="10"/>
      <c r="AZ40" s="11"/>
      <c r="BB40" s="12"/>
    </row>
    <row r="41" spans="2:54" x14ac:dyDescent="0.25"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</row>
    <row r="42" spans="2:54" x14ac:dyDescent="0.25"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</row>
    <row r="43" spans="2:54" x14ac:dyDescent="0.25"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</row>
    <row r="44" spans="2:54" ht="15.75" thickBot="1" x14ac:dyDescent="0.3"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</row>
    <row r="45" spans="2:54" x14ac:dyDescent="0.25">
      <c r="B45" s="12"/>
      <c r="C45" s="120" t="s">
        <v>46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2"/>
      <c r="O45" s="12"/>
      <c r="P45" s="120" t="s">
        <v>45</v>
      </c>
      <c r="Q45" s="121"/>
      <c r="R45" s="121"/>
      <c r="S45" s="121"/>
      <c r="T45" s="121"/>
      <c r="U45" s="121"/>
      <c r="V45" s="121"/>
      <c r="W45" s="121"/>
      <c r="X45" s="121"/>
      <c r="Y45" s="121"/>
      <c r="Z45" s="12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</row>
    <row r="46" spans="2:54" ht="15.75" thickBot="1" x14ac:dyDescent="0.3">
      <c r="B46" s="12"/>
      <c r="C46" s="123"/>
      <c r="D46" s="124"/>
      <c r="E46" s="124"/>
      <c r="F46" s="124"/>
      <c r="G46" s="124"/>
      <c r="H46" s="124"/>
      <c r="I46" s="124"/>
      <c r="J46" s="124"/>
      <c r="K46" s="124"/>
      <c r="L46" s="124"/>
      <c r="M46" s="125"/>
      <c r="O46" s="12"/>
      <c r="P46" s="123"/>
      <c r="Q46" s="124"/>
      <c r="R46" s="124"/>
      <c r="S46" s="124"/>
      <c r="T46" s="124"/>
      <c r="U46" s="124"/>
      <c r="V46" s="124"/>
      <c r="W46" s="124"/>
      <c r="X46" s="124"/>
      <c r="Y46" s="124"/>
      <c r="Z46" s="125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</row>
    <row r="47" spans="2:54" ht="15.75" thickBot="1" x14ac:dyDescent="0.3"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</row>
    <row r="48" spans="2:54" x14ac:dyDescent="0.25">
      <c r="B48" s="12"/>
      <c r="C48" s="58" t="s">
        <v>20</v>
      </c>
      <c r="D48" s="59" t="s">
        <v>21</v>
      </c>
      <c r="E48" s="59" t="s">
        <v>22</v>
      </c>
      <c r="F48" s="84" t="s">
        <v>23</v>
      </c>
      <c r="G48" s="84"/>
      <c r="H48" s="59" t="s">
        <v>11</v>
      </c>
      <c r="I48" s="59" t="s">
        <v>24</v>
      </c>
      <c r="J48" s="59" t="s">
        <v>25</v>
      </c>
      <c r="K48" s="59" t="s">
        <v>26</v>
      </c>
      <c r="L48" s="59" t="s">
        <v>27</v>
      </c>
      <c r="M48" s="60" t="s">
        <v>28</v>
      </c>
      <c r="O48" s="12"/>
      <c r="P48" s="58" t="s">
        <v>20</v>
      </c>
      <c r="Q48" s="59" t="s">
        <v>21</v>
      </c>
      <c r="R48" s="59" t="s">
        <v>22</v>
      </c>
      <c r="S48" s="84" t="s">
        <v>23</v>
      </c>
      <c r="T48" s="84"/>
      <c r="U48" s="59" t="s">
        <v>11</v>
      </c>
      <c r="V48" s="59" t="s">
        <v>24</v>
      </c>
      <c r="W48" s="59" t="s">
        <v>25</v>
      </c>
      <c r="X48" s="59" t="s">
        <v>26</v>
      </c>
      <c r="Y48" s="59" t="s">
        <v>27</v>
      </c>
      <c r="Z48" s="60" t="s">
        <v>28</v>
      </c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</row>
    <row r="49" spans="1:54" x14ac:dyDescent="0.25">
      <c r="B49" s="12"/>
      <c r="C49" s="167">
        <v>1</v>
      </c>
      <c r="D49" s="163">
        <f>VLOOKUP(C49,Ел41,2)</f>
        <v>44811</v>
      </c>
      <c r="E49" s="165">
        <f>VLOOKUP(C49,Ел41,4)</f>
        <v>0.875</v>
      </c>
      <c r="F49" s="99" t="str">
        <f>IF(Резултати!H39=3,Резултати!F39,IF(Резултати!H40=3,Резултати!F40,"-"))</f>
        <v>-</v>
      </c>
      <c r="G49" s="99"/>
      <c r="H49" s="26">
        <f>IF(OR(I49="",I50=""),0,IF(AND(I49=25,I49-I50&gt;=2),1,IF(I49-I50=2,IF(I49&lt;25,0,1),0)))+IF(OR(J49="",J50="",I49="",I50=""),0,IF(OR(AND(I49=0,I50=0),AND(I49&lt;25,I50&lt;25)),0,IF(AND(J49=25,J49-J50&gt;=2),1,IF(J49-J50=2,IF(J49&lt;25,0,1),0))))+IF(OR(K49="",K50="",J49="",J50="",I49="",I50=""),0,IF(OR(AND(J49=0,J50=0),AND(I49=0,I50=0),AND(J49&lt;25,J50&lt;25),AND(I49&lt;25,I50&lt;25)),0,IF(AND(K49=25,K49-K50&gt;=2),1,IF(K49-K50=2,IF(K49&lt;25,0,1),0))))+IF(OR(L49="",L50="",K49="",K50="",J49="",J50="",I49="",I50=""),0,IF(OR(AND(J49=0,J50=0),AND(I49=0,I50=0),AND(K49=0,K50=0),AND(J49&lt;25,J50&lt;25),AND(I49&lt;25,I50&lt;25),AND(K49&lt;25,K50&lt;25)),0,IF(AND(L49=25,L49-L50&gt;=2),1,IF(L49-L50=2,IF(L49&lt;25,0,1),0))))+IF(OR(M49="",M50="",L49="",L50="",K49="",K50="",J49="",J50="",I49="",I50=""),0,IF(OR(AND(J49=0,J50=0),AND(I49=0,I50=0),AND(K49=0,K50=0),AND(L49=0,L50=0),AND(J49&lt;25,J50&lt;25),AND(I49&lt;25,I50&lt;25),AND(K49&lt;25,K50&lt;25),AND(L49&lt;25,L50&lt;25)),0,IF(AND(M49=15,M49-M50&gt;=2),1,IF(M49-M50=2,IF(M49&lt;25,0,1),0))))</f>
        <v>0</v>
      </c>
      <c r="I49" s="8"/>
      <c r="J49" s="8"/>
      <c r="K49" s="8"/>
      <c r="L49" s="8"/>
      <c r="M49" s="9"/>
      <c r="O49" s="12"/>
      <c r="P49" s="167">
        <v>1</v>
      </c>
      <c r="Q49" s="163">
        <f>VLOOKUP(P49,Ел41,2)</f>
        <v>44811</v>
      </c>
      <c r="R49" s="165">
        <f>VLOOKUP(P49,Ел41,4)</f>
        <v>0.875</v>
      </c>
      <c r="S49" s="99" t="str">
        <f>IF(Резултати!U39=3,Резултати!S39,IF(Резултати!U40=3,Резултати!S40,"-"))</f>
        <v>-</v>
      </c>
      <c r="T49" s="99"/>
      <c r="U49" s="26">
        <f>IF(OR(V49="",V50=""),0,IF(AND(V49=25,V49-V50&gt;=2),1,IF(V49-V50=2,IF(V49&lt;25,0,1),0)))+IF(OR(W49="",W50="",V49="",V50=""),0,IF(OR(AND(V49=0,V50=0),AND(V49&lt;25,V50&lt;25)),0,IF(AND(W49=25,W49-W50&gt;=2),1,IF(W49-W50=2,IF(W49&lt;25,0,1),0))))+IF(OR(X49="",X50="",W49="",W50="",V49="",V50=""),0,IF(OR(AND(W49=0,W50=0),AND(V49=0,V50=0),AND(W49&lt;25,W50&lt;25),AND(V49&lt;25,V50&lt;25)),0,IF(AND(X49=25,X49-X50&gt;=2),1,IF(X49-X50=2,IF(X49&lt;25,0,1),0))))+IF(OR(Y49="",Y50="",X49="",X50="",W49="",W50="",V49="",V50=""),0,IF(OR(AND(W49=0,W50=0),AND(V49=0,V50=0),AND(X49=0,X50=0),AND(W49&lt;25,W50&lt;25),AND(V49&lt;25,V50&lt;25),AND(X49&lt;25,X50&lt;25)),0,IF(AND(Y49=25,Y49-Y50&gt;=2),1,IF(Y49-Y50=2,IF(Y49&lt;25,0,1),0))))+IF(OR(Z49="",Z50="",Y49="",Y50="",X49="",X50="",W49="",W50="",V49="",V50=""),0,IF(OR(AND(W49=0,W50=0),AND(V49=0,V50=0),AND(X49=0,X50=0),AND(Y49=0,Y50=0),AND(W49&lt;25,W50&lt;25),AND(V49&lt;25,V50&lt;25),AND(X49&lt;25,X50&lt;25),AND(Y49&lt;25,Y50&lt;25)),0,IF(AND(Z49=15,Z49-Z50&gt;=2),1,IF(Z49-Z50=2,IF(Z49&lt;25,0,1),0))))</f>
        <v>0</v>
      </c>
      <c r="V49" s="8"/>
      <c r="W49" s="8"/>
      <c r="X49" s="8"/>
      <c r="Y49" s="8"/>
      <c r="Z49" s="9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</row>
    <row r="50" spans="1:54" ht="15.75" thickBot="1" x14ac:dyDescent="0.3">
      <c r="B50" s="12"/>
      <c r="C50" s="168"/>
      <c r="D50" s="164"/>
      <c r="E50" s="166"/>
      <c r="F50" s="88" t="str">
        <f>IF(Резултати!AH39=3,Резултати!AF39,IF(Резултати!AH40=3,Резултати!AF40,"-"))</f>
        <v>-</v>
      </c>
      <c r="G50" s="88"/>
      <c r="H50" s="32">
        <f>IF(OR(I49="",I50=""),0,IF(AND(I50=25,I50-I49&gt;=2),1,IF(I50-I49=2,IF(I50&lt;25,0,1),0)))+IF(OR(J49="",J50="",I49="",I50=""),0,IF(OR(AND(I49=0,I50=0),AND(I49&lt;25,I50&lt;25)),0,IF(AND(J50=25,J50-J49&gt;=2),1,IF(J50-J49=2,IF(J50&lt;25,0,1),0))))+IF(OR(K49="",K50="",J49="",J50="",I49="",I50=""),0,IF(OR(AND(J49=0,J50=0),AND(I49=0,I50=0),AND(J49&lt;25,J50&lt;25),AND(I49&lt;25,I50&lt;25)),0,IF(AND(K50=25,K50-K49&gt;=2),1,IF(K50-K49=2,IF(K50&lt;25,0,1),0))))+IF(OR(L49="",L50="",K49="",K50="",J49="",J50="",I49="",I50=""),0,IF(OR(AND(J49=0,J50=0),AND(I49=0,I50=0),AND(K49=0,K50=0),AND(J49&lt;25,J50&lt;25),AND(I49&lt;25,I50&lt;25),AND(K49&lt;25,K50&lt;25)),0,IF(AND(L50=25,L50-L49&gt;=2),1,IF(L50-L49=2,IF(L50&lt;25,0,1),0))))+IF(OR(M49="",M50="",L49="",L50="",K49="",K50="",J49="",J50="",I49="",I50=""),0,IF(OR(AND(J49=0,J50=0),AND(I49=0,I50=0),AND(K49=0,K50=0),AND(L49=0,L50=0),AND(J49&lt;25,J50&lt;25),AND(I49&lt;25,I50&lt;25),AND(K49&lt;25,K50&lt;25),AND(L49&lt;25,L50&lt;25)),0,IF(AND(M50=15,M50-M49&gt;=2),1,IF(M50-M49=2,IF(M50&lt;25,0,1),0))))</f>
        <v>0</v>
      </c>
      <c r="I50" s="10"/>
      <c r="J50" s="10"/>
      <c r="K50" s="10"/>
      <c r="L50" s="10"/>
      <c r="M50" s="11"/>
      <c r="O50" s="12"/>
      <c r="P50" s="168"/>
      <c r="Q50" s="164"/>
      <c r="R50" s="166"/>
      <c r="S50" s="88" t="str">
        <f>IF(Резултати!AU39=3,Резултати!AS39,IF(Резултати!AU40=3,Резултати!AS40,"-"))</f>
        <v>-</v>
      </c>
      <c r="T50" s="88"/>
      <c r="U50" s="32">
        <f>IF(OR(V49="",V50=""),0,IF(AND(V50=25,V50-V49&gt;=2),1,IF(V50-V49=2,IF(V50&lt;25,0,1),0)))+IF(OR(W49="",W50="",V49="",V50=""),0,IF(OR(AND(V49=0,V50=0),AND(V49&lt;25,V50&lt;25)),0,IF(AND(W50=25,W50-W49&gt;=2),1,IF(W50-W49=2,IF(W50&lt;25,0,1),0))))+IF(OR(X49="",X50="",W49="",W50="",V49="",V50=""),0,IF(OR(AND(W49=0,W50=0),AND(V49=0,V50=0),AND(W49&lt;25,W50&lt;25),AND(V49&lt;25,V50&lt;25)),0,IF(AND(X50=25,X50-X49&gt;=2),1,IF(X50-X49=2,IF(X50&lt;25,0,1),0))))+IF(OR(Y49="",Y50="",X49="",X50="",W49="",W50="",V49="",V50=""),0,IF(OR(AND(W49=0,W50=0),AND(V49=0,V50=0),AND(X49=0,X50=0),AND(W49&lt;25,W50&lt;25),AND(V49&lt;25,V50&lt;25),AND(X49&lt;25,X50&lt;25)),0,IF(AND(Y50=25,Y50-Y49&gt;=2),1,IF(Y50-Y49=2,IF(Y50&lt;25,0,1),0))))+IF(OR(Z49="",Z50="",Y49="",Y50="",X49="",X50="",W49="",W50="",V49="",V50=""),0,IF(OR(AND(W49=0,W50=0),AND(V49=0,V50=0),AND(X49=0,X50=0),AND(Y49=0,Y50=0),AND(W49&lt;25,W50&lt;25),AND(V49&lt;25,V50&lt;25),AND(X49&lt;25,X50&lt;25),AND(Y49&lt;25,Y50&lt;25)),0,IF(AND(Z50=15,Z50-Z49&gt;=2),1,IF(Z50-Z49=2,IF(Z50&lt;25,0,1),0))))</f>
        <v>0</v>
      </c>
      <c r="V50" s="10"/>
      <c r="W50" s="10"/>
      <c r="X50" s="10"/>
      <c r="Y50" s="10"/>
      <c r="Z50" s="11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</row>
    <row r="51" spans="1:54" x14ac:dyDescent="0.25"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</row>
    <row r="52" spans="1:54" x14ac:dyDescent="0.25"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</row>
    <row r="53" spans="1:54" x14ac:dyDescent="0.25"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</row>
    <row r="54" spans="1:54" ht="15.75" thickBot="1" x14ac:dyDescent="0.3"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</row>
    <row r="55" spans="1:54" x14ac:dyDescent="0.25">
      <c r="B55" s="12"/>
      <c r="C55" s="120" t="s">
        <v>49</v>
      </c>
      <c r="D55" s="121"/>
      <c r="E55" s="121"/>
      <c r="F55" s="121"/>
      <c r="G55" s="121"/>
      <c r="H55" s="121"/>
      <c r="I55" s="121"/>
      <c r="J55" s="121"/>
      <c r="K55" s="121"/>
      <c r="L55" s="121"/>
      <c r="M55" s="122"/>
      <c r="O55" s="12"/>
      <c r="P55" s="120" t="s">
        <v>50</v>
      </c>
      <c r="Q55" s="121"/>
      <c r="R55" s="121"/>
      <c r="S55" s="121"/>
      <c r="T55" s="121"/>
      <c r="U55" s="121"/>
      <c r="V55" s="121"/>
      <c r="W55" s="121"/>
      <c r="X55" s="121"/>
      <c r="Y55" s="121"/>
      <c r="Z55" s="12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</row>
    <row r="56" spans="1:54" ht="15.75" thickBot="1" x14ac:dyDescent="0.3">
      <c r="B56" s="12"/>
      <c r="C56" s="123"/>
      <c r="D56" s="124"/>
      <c r="E56" s="124"/>
      <c r="F56" s="124"/>
      <c r="G56" s="124"/>
      <c r="H56" s="124"/>
      <c r="I56" s="124"/>
      <c r="J56" s="124"/>
      <c r="K56" s="124"/>
      <c r="L56" s="124"/>
      <c r="M56" s="125"/>
      <c r="O56" s="12"/>
      <c r="P56" s="123"/>
      <c r="Q56" s="124"/>
      <c r="R56" s="124"/>
      <c r="S56" s="124"/>
      <c r="T56" s="124"/>
      <c r="U56" s="124"/>
      <c r="V56" s="124"/>
      <c r="W56" s="124"/>
      <c r="X56" s="124"/>
      <c r="Y56" s="124"/>
      <c r="Z56" s="125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</row>
    <row r="57" spans="1:54" ht="15.75" thickBot="1" x14ac:dyDescent="0.3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</row>
    <row r="58" spans="1:54" x14ac:dyDescent="0.25">
      <c r="B58" s="12"/>
      <c r="C58" s="58" t="s">
        <v>20</v>
      </c>
      <c r="D58" s="59" t="s">
        <v>21</v>
      </c>
      <c r="E58" s="59" t="s">
        <v>22</v>
      </c>
      <c r="F58" s="84" t="s">
        <v>23</v>
      </c>
      <c r="G58" s="84"/>
      <c r="H58" s="59" t="s">
        <v>11</v>
      </c>
      <c r="I58" s="59" t="s">
        <v>24</v>
      </c>
      <c r="J58" s="59" t="s">
        <v>25</v>
      </c>
      <c r="K58" s="59" t="s">
        <v>26</v>
      </c>
      <c r="L58" s="59" t="s">
        <v>27</v>
      </c>
      <c r="M58" s="60" t="s">
        <v>28</v>
      </c>
      <c r="O58" s="12"/>
      <c r="P58" s="58" t="s">
        <v>20</v>
      </c>
      <c r="Q58" s="59" t="s">
        <v>21</v>
      </c>
      <c r="R58" s="59" t="s">
        <v>22</v>
      </c>
      <c r="S58" s="84" t="s">
        <v>23</v>
      </c>
      <c r="T58" s="84"/>
      <c r="U58" s="59" t="s">
        <v>11</v>
      </c>
      <c r="V58" s="59" t="s">
        <v>24</v>
      </c>
      <c r="W58" s="59" t="s">
        <v>25</v>
      </c>
      <c r="X58" s="59" t="s">
        <v>26</v>
      </c>
      <c r="Y58" s="59" t="s">
        <v>27</v>
      </c>
      <c r="Z58" s="60" t="s">
        <v>28</v>
      </c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</row>
    <row r="59" spans="1:54" x14ac:dyDescent="0.25">
      <c r="B59" s="12"/>
      <c r="C59" s="167">
        <v>1</v>
      </c>
      <c r="D59" s="163">
        <f>Програма!I77</f>
        <v>44814</v>
      </c>
      <c r="E59" s="165">
        <f>Програма!K77</f>
        <v>0.83333333333333337</v>
      </c>
      <c r="F59" s="99" t="str">
        <f>IF(Резултати!H49&lt;3,Резултати!F49,IF(Резултати!H50&lt;3,Резултати!F50,"-"))</f>
        <v>-</v>
      </c>
      <c r="G59" s="99"/>
      <c r="H59" s="26">
        <f>IF(OR(I59="",I60=""),0,IF(AND(I59=25,I59-I60&gt;=2),1,IF(I59-I60=2,IF(I59&lt;25,0,1),0)))+IF(OR(J59="",J60="",I59="",I60=""),0,IF(OR(AND(I59=0,I60=0),AND(I59&lt;25,I60&lt;25)),0,IF(AND(J59=25,J59-J60&gt;=2),1,IF(J59-J60=2,IF(J59&lt;25,0,1),0))))+IF(OR(K59="",K60="",J59="",J60="",I59="",I60=""),0,IF(OR(AND(J59=0,J60=0),AND(I59=0,I60=0),AND(J59&lt;25,J60&lt;25),AND(I59&lt;25,I60&lt;25)),0,IF(AND(K59=25,K59-K60&gt;=2),1,IF(K59-K60=2,IF(K59&lt;25,0,1),0))))+IF(OR(L59="",L60="",K59="",K60="",J59="",J60="",I59="",I60=""),0,IF(OR(AND(J59=0,J60=0),AND(I59=0,I60=0),AND(K59=0,K60=0),AND(J59&lt;25,J60&lt;25),AND(I59&lt;25,I60&lt;25),AND(K59&lt;25,K60&lt;25)),0,IF(AND(L59=25,L59-L60&gt;=2),1,IF(L59-L60=2,IF(L59&lt;25,0,1),0))))+IF(OR(M59="",M60="",L59="",L60="",K59="",K60="",J59="",J60="",I59="",I60=""),0,IF(OR(AND(J59=0,J60=0),AND(I59=0,I60=0),AND(K59=0,K60=0),AND(L59=0,L60=0),AND(J59&lt;25,J60&lt;25),AND(I59&lt;25,I60&lt;25),AND(K59&lt;25,K60&lt;25),AND(L59&lt;25,L60&lt;25)),0,IF(AND(M59=15,M59-M60&gt;=2),1,IF(M59-M60=2,IF(M59&lt;25,0,1),0))))</f>
        <v>0</v>
      </c>
      <c r="I59" s="8"/>
      <c r="J59" s="8"/>
      <c r="K59" s="8"/>
      <c r="L59" s="8"/>
      <c r="M59" s="9"/>
      <c r="O59" s="12"/>
      <c r="P59" s="167">
        <v>1</v>
      </c>
      <c r="Q59" s="163">
        <f>Програма!I83</f>
        <v>44814</v>
      </c>
      <c r="R59" s="165">
        <f>Програма!K83</f>
        <v>0.875</v>
      </c>
      <c r="S59" s="99" t="str">
        <f>IF(Резултати!H49=3,Резултати!F49,IF(Резултати!H50=3,Резултати!F50,"-"))</f>
        <v>-</v>
      </c>
      <c r="T59" s="99"/>
      <c r="U59" s="26">
        <f>IF(OR(V59="",V60=""),0,IF(AND(V59=25,V59-V60&gt;=2),1,IF(V59-V60=2,IF(V59&lt;25,0,1),0)))+IF(OR(W59="",W60="",V59="",V60=""),0,IF(OR(AND(V59=0,V60=0),AND(V59&lt;25,V60&lt;25)),0,IF(AND(W59=25,W59-W60&gt;=2),1,IF(W59-W60=2,IF(W59&lt;25,0,1),0))))+IF(OR(X59="",X60="",W59="",W60="",V59="",V60=""),0,IF(OR(AND(W59=0,W60=0),AND(V59=0,V60=0),AND(W59&lt;25,W60&lt;25),AND(V59&lt;25,V60&lt;25)),0,IF(AND(X59=25,X59-X60&gt;=2),1,IF(X59-X60=2,IF(X59&lt;25,0,1),0))))+IF(OR(Y59="",Y60="",X59="",X60="",W59="",W60="",V59="",V60=""),0,IF(OR(AND(W59=0,W60=0),AND(V59=0,V60=0),AND(X59=0,X60=0),AND(W59&lt;25,W60&lt;25),AND(V59&lt;25,V60&lt;25),AND(X59&lt;25,X60&lt;25)),0,IF(AND(Y59=25,Y59-Y60&gt;=2),1,IF(Y59-Y60=2,IF(Y59&lt;25,0,1),0))))+IF(OR(Z59="",Z60="",Y59="",Y60="",X59="",X60="",W59="",W60="",V59="",V60=""),0,IF(OR(AND(W59=0,W60=0),AND(V59=0,V60=0),AND(X59=0,X60=0),AND(Y59=0,Y60=0),AND(W59&lt;25,W60&lt;25),AND(V59&lt;25,V60&lt;25),AND(X59&lt;25,X60&lt;25),AND(Y59&lt;25,Y60&lt;25)),0,IF(AND(Z59=15,Z59-Z60&gt;=2),1,IF(Z59-Z60=2,IF(Z59&lt;25,0,1),0))))</f>
        <v>0</v>
      </c>
      <c r="V59" s="8"/>
      <c r="W59" s="8"/>
      <c r="X59" s="8"/>
      <c r="Y59" s="8"/>
      <c r="Z59" s="9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</row>
    <row r="60" spans="1:54" ht="15.75" thickBot="1" x14ac:dyDescent="0.3">
      <c r="B60" s="12"/>
      <c r="C60" s="168"/>
      <c r="D60" s="164"/>
      <c r="E60" s="166"/>
      <c r="F60" s="88" t="str">
        <f>IF(Резултати!U49&lt;3,Резултати!S49,IF(Резултати!U50&lt;3,Резултати!S50,"-"))</f>
        <v>-</v>
      </c>
      <c r="G60" s="88"/>
      <c r="H60" s="32">
        <f>IF(OR(I59="",I60=""),0,IF(AND(I60=25,I60-I59&gt;=2),1,IF(I60-I59=2,IF(I60&lt;25,0,1),0)))+IF(OR(J59="",J60="",I59="",I60=""),0,IF(OR(AND(I59=0,I60=0),AND(I59&lt;25,I60&lt;25)),0,IF(AND(J60=25,J60-J59&gt;=2),1,IF(J60-J59=2,IF(J60&lt;25,0,1),0))))+IF(OR(K59="",K60="",J59="",J60="",I59="",I60=""),0,IF(OR(AND(J59=0,J60=0),AND(I59=0,I60=0),AND(J59&lt;25,J60&lt;25),AND(I59&lt;25,I60&lt;25)),0,IF(AND(K60=25,K60-K59&gt;=2),1,IF(K60-K59=2,IF(K60&lt;25,0,1),0))))+IF(OR(L59="",L60="",K59="",K60="",J59="",J60="",I59="",I60=""),0,IF(OR(AND(J59=0,J60=0),AND(I59=0,I60=0),AND(K59=0,K60=0),AND(J59&lt;25,J60&lt;25),AND(I59&lt;25,I60&lt;25),AND(K59&lt;25,K60&lt;25)),0,IF(AND(L60=25,L60-L59&gt;=2),1,IF(L60-L59=2,IF(L60&lt;25,0,1),0))))+IF(OR(M59="",M60="",L59="",L60="",K59="",K60="",J59="",J60="",I59="",I60=""),0,IF(OR(AND(J59=0,J60=0),AND(I59=0,I60=0),AND(K59=0,K60=0),AND(L59=0,L60=0),AND(J59&lt;25,J60&lt;25),AND(I59&lt;25,I60&lt;25),AND(K59&lt;25,K60&lt;25),AND(L59&lt;25,L60&lt;25)),0,IF(AND(M60=15,M60-M59&gt;=2),1,IF(M60-M59=2,IF(M60&lt;25,0,1),0))))</f>
        <v>0</v>
      </c>
      <c r="I60" s="10"/>
      <c r="J60" s="10"/>
      <c r="K60" s="10"/>
      <c r="L60" s="10"/>
      <c r="M60" s="11"/>
      <c r="O60" s="12"/>
      <c r="P60" s="168"/>
      <c r="Q60" s="164"/>
      <c r="R60" s="166"/>
      <c r="S60" s="88" t="str">
        <f>IF(Резултати!U49=3,Резултати!S49,IF(Резултати!U50=3,Резултати!S50,"-"))</f>
        <v>-</v>
      </c>
      <c r="T60" s="88"/>
      <c r="U60" s="32">
        <f>IF(OR(V59="",V60=""),0,IF(AND(V60=25,V60-V59&gt;=2),1,IF(V60-V59=2,IF(V60&lt;25,0,1),0)))+IF(OR(W59="",W60="",V59="",V60=""),0,IF(OR(AND(V59=0,V60=0),AND(V59&lt;25,V60&lt;25)),0,IF(AND(W60=25,W60-W59&gt;=2),1,IF(W60-W59=2,IF(W60&lt;25,0,1),0))))+IF(OR(X59="",X60="",W59="",W60="",V59="",V60=""),0,IF(OR(AND(W59=0,W60=0),AND(V59=0,V60=0),AND(W59&lt;25,W60&lt;25),AND(V59&lt;25,V60&lt;25)),0,IF(AND(X60=25,X60-X59&gt;=2),1,IF(X60-X59=2,IF(X60&lt;25,0,1),0))))+IF(OR(Y59="",Y60="",X59="",X60="",W59="",W60="",V59="",V60=""),0,IF(OR(AND(W59=0,W60=0),AND(V59=0,V60=0),AND(X59=0,X60=0),AND(W59&lt;25,W60&lt;25),AND(V59&lt;25,V60&lt;25),AND(X59&lt;25,X60&lt;25)),0,IF(AND(Y60=25,Y60-Y59&gt;=2),1,IF(Y60-Y59=2,IF(Y60&lt;25,0,1),0))))+IF(OR(Z59="",Z60="",Y59="",Y60="",X59="",X60="",W59="",W60="",V59="",V60=""),0,IF(OR(AND(W59=0,W60=0),AND(V59=0,V60=0),AND(X59=0,X60=0),AND(Y59=0,Y60=0),AND(W59&lt;25,W60&lt;25),AND(V59&lt;25,V60&lt;25),AND(X59&lt;25,X60&lt;25),AND(Y59&lt;25,Y60&lt;25)),0,IF(AND(Z60=15,Z60-Z59&gt;=2),1,IF(Z60-Z59=2,IF(Z60&lt;25,0,1),0))))</f>
        <v>0</v>
      </c>
      <c r="V60" s="10"/>
      <c r="W60" s="10"/>
      <c r="X60" s="10"/>
      <c r="Y60" s="10"/>
      <c r="Z60" s="11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</row>
    <row r="61" spans="1:54" x14ac:dyDescent="0.25"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61" t="s">
        <v>63</v>
      </c>
    </row>
    <row r="62" spans="1:54" s="13" customFormat="1" ht="6.75" customHeight="1" x14ac:dyDescent="0.25">
      <c r="A62" s="4"/>
    </row>
  </sheetData>
  <mergeCells count="205">
    <mergeCell ref="B2:C3"/>
    <mergeCell ref="P17:P18"/>
    <mergeCell ref="P21:P22"/>
    <mergeCell ref="P25:P26"/>
    <mergeCell ref="P29:P30"/>
    <mergeCell ref="Q25:Q26"/>
    <mergeCell ref="R25:R26"/>
    <mergeCell ref="S25:T25"/>
    <mergeCell ref="S26:T26"/>
    <mergeCell ref="S16:T16"/>
    <mergeCell ref="Q17:Q18"/>
    <mergeCell ref="R17:R18"/>
    <mergeCell ref="S17:T17"/>
    <mergeCell ref="S18:T18"/>
    <mergeCell ref="S20:T20"/>
    <mergeCell ref="Q21:Q22"/>
    <mergeCell ref="R21:R22"/>
    <mergeCell ref="S21:T21"/>
    <mergeCell ref="S22:T22"/>
    <mergeCell ref="S24:T24"/>
    <mergeCell ref="S28:T28"/>
    <mergeCell ref="Q29:Q30"/>
    <mergeCell ref="R29:R30"/>
    <mergeCell ref="S29:T29"/>
    <mergeCell ref="S30:T30"/>
    <mergeCell ref="P5:Z6"/>
    <mergeCell ref="S8:T8"/>
    <mergeCell ref="P9:P10"/>
    <mergeCell ref="Q9:Q10"/>
    <mergeCell ref="R9:R10"/>
    <mergeCell ref="S9:T9"/>
    <mergeCell ref="S10:T10"/>
    <mergeCell ref="S12:T12"/>
    <mergeCell ref="Q13:Q14"/>
    <mergeCell ref="R13:R14"/>
    <mergeCell ref="S13:T13"/>
    <mergeCell ref="S14:T14"/>
    <mergeCell ref="P13:P14"/>
    <mergeCell ref="F24:G24"/>
    <mergeCell ref="C25:C26"/>
    <mergeCell ref="D25:D26"/>
    <mergeCell ref="E25:E26"/>
    <mergeCell ref="F25:G25"/>
    <mergeCell ref="F26:G26"/>
    <mergeCell ref="F28:G28"/>
    <mergeCell ref="C29:C30"/>
    <mergeCell ref="D29:D30"/>
    <mergeCell ref="E29:E30"/>
    <mergeCell ref="F29:G29"/>
    <mergeCell ref="F30:G30"/>
    <mergeCell ref="F16:G16"/>
    <mergeCell ref="C17:C18"/>
    <mergeCell ref="D17:D18"/>
    <mergeCell ref="E17:E18"/>
    <mergeCell ref="F17:G17"/>
    <mergeCell ref="F18:G18"/>
    <mergeCell ref="F20:G20"/>
    <mergeCell ref="C21:C22"/>
    <mergeCell ref="D21:D22"/>
    <mergeCell ref="E21:E22"/>
    <mergeCell ref="F21:G21"/>
    <mergeCell ref="F22:G22"/>
    <mergeCell ref="C5:M6"/>
    <mergeCell ref="F8:G8"/>
    <mergeCell ref="C9:C10"/>
    <mergeCell ref="D9:D10"/>
    <mergeCell ref="E9:E10"/>
    <mergeCell ref="F9:G9"/>
    <mergeCell ref="F10:G10"/>
    <mergeCell ref="F12:G12"/>
    <mergeCell ref="C13:C14"/>
    <mergeCell ref="D13:D14"/>
    <mergeCell ref="E13:E14"/>
    <mergeCell ref="F13:G13"/>
    <mergeCell ref="F14:G14"/>
    <mergeCell ref="AC13:AC14"/>
    <mergeCell ref="AD13:AD14"/>
    <mergeCell ref="AE13:AE14"/>
    <mergeCell ref="AF13:AG13"/>
    <mergeCell ref="AF14:AG14"/>
    <mergeCell ref="AC5:AM6"/>
    <mergeCell ref="AF8:AG8"/>
    <mergeCell ref="AC9:AC10"/>
    <mergeCell ref="AD9:AD10"/>
    <mergeCell ref="AE9:AE10"/>
    <mergeCell ref="AF9:AG9"/>
    <mergeCell ref="AF10:AG10"/>
    <mergeCell ref="AC21:AC22"/>
    <mergeCell ref="AD21:AD22"/>
    <mergeCell ref="AE21:AE22"/>
    <mergeCell ref="AF21:AG21"/>
    <mergeCell ref="AF22:AG22"/>
    <mergeCell ref="AF16:AG16"/>
    <mergeCell ref="AC17:AC18"/>
    <mergeCell ref="AD17:AD18"/>
    <mergeCell ref="AE17:AE18"/>
    <mergeCell ref="AF17:AG17"/>
    <mergeCell ref="AF18:AG18"/>
    <mergeCell ref="AC29:AC30"/>
    <mergeCell ref="AD29:AD30"/>
    <mergeCell ref="AE29:AE30"/>
    <mergeCell ref="AF29:AG29"/>
    <mergeCell ref="AF30:AG30"/>
    <mergeCell ref="AF24:AG24"/>
    <mergeCell ref="AC25:AC26"/>
    <mergeCell ref="AD25:AD26"/>
    <mergeCell ref="AE25:AE26"/>
    <mergeCell ref="AF25:AG25"/>
    <mergeCell ref="AF26:AG26"/>
    <mergeCell ref="AP5:AZ6"/>
    <mergeCell ref="AS8:AT8"/>
    <mergeCell ref="AP9:AP10"/>
    <mergeCell ref="AQ9:AQ10"/>
    <mergeCell ref="AR9:AR10"/>
    <mergeCell ref="AS9:AT9"/>
    <mergeCell ref="AS10:AT10"/>
    <mergeCell ref="AS12:AT12"/>
    <mergeCell ref="AF28:AG28"/>
    <mergeCell ref="AF20:AG20"/>
    <mergeCell ref="AF12:AG12"/>
    <mergeCell ref="AP13:AP14"/>
    <mergeCell ref="AQ13:AQ14"/>
    <mergeCell ref="AR13:AR14"/>
    <mergeCell ref="AS13:AT13"/>
    <mergeCell ref="AS14:AT14"/>
    <mergeCell ref="AS16:AT16"/>
    <mergeCell ref="AP17:AP18"/>
    <mergeCell ref="AQ17:AQ18"/>
    <mergeCell ref="AR17:AR18"/>
    <mergeCell ref="AS17:AT17"/>
    <mergeCell ref="AS18:AT18"/>
    <mergeCell ref="AS30:AT30"/>
    <mergeCell ref="AS20:AT20"/>
    <mergeCell ref="AP21:AP22"/>
    <mergeCell ref="AQ21:AQ22"/>
    <mergeCell ref="AR21:AR22"/>
    <mergeCell ref="AS21:AT21"/>
    <mergeCell ref="AS22:AT22"/>
    <mergeCell ref="AS24:AT24"/>
    <mergeCell ref="AP25:AP26"/>
    <mergeCell ref="AQ25:AQ26"/>
    <mergeCell ref="AR25:AR26"/>
    <mergeCell ref="AS25:AT25"/>
    <mergeCell ref="AS26:AT26"/>
    <mergeCell ref="AS28:AT28"/>
    <mergeCell ref="AP29:AP30"/>
    <mergeCell ref="AQ29:AQ30"/>
    <mergeCell ref="AR29:AR30"/>
    <mergeCell ref="AS29:AT29"/>
    <mergeCell ref="C35:M36"/>
    <mergeCell ref="P35:Z36"/>
    <mergeCell ref="AC35:AM36"/>
    <mergeCell ref="AP35:AZ36"/>
    <mergeCell ref="F38:G38"/>
    <mergeCell ref="C39:C40"/>
    <mergeCell ref="D39:D40"/>
    <mergeCell ref="E39:E40"/>
    <mergeCell ref="F39:G39"/>
    <mergeCell ref="F40:G40"/>
    <mergeCell ref="S38:T38"/>
    <mergeCell ref="P39:P40"/>
    <mergeCell ref="Q39:Q40"/>
    <mergeCell ref="R39:R40"/>
    <mergeCell ref="S39:T39"/>
    <mergeCell ref="S40:T40"/>
    <mergeCell ref="AF38:AG38"/>
    <mergeCell ref="AC39:AC40"/>
    <mergeCell ref="AD39:AD40"/>
    <mergeCell ref="AE39:AE40"/>
    <mergeCell ref="AF39:AG39"/>
    <mergeCell ref="AF40:AG40"/>
    <mergeCell ref="AS38:AT38"/>
    <mergeCell ref="AP39:AP40"/>
    <mergeCell ref="AQ39:AQ40"/>
    <mergeCell ref="AR39:AR40"/>
    <mergeCell ref="AS39:AT39"/>
    <mergeCell ref="AS40:AT40"/>
    <mergeCell ref="C45:M46"/>
    <mergeCell ref="P45:Z46"/>
    <mergeCell ref="F48:G48"/>
    <mergeCell ref="C49:C50"/>
    <mergeCell ref="D49:D50"/>
    <mergeCell ref="E49:E50"/>
    <mergeCell ref="F49:G49"/>
    <mergeCell ref="F50:G50"/>
    <mergeCell ref="S48:T48"/>
    <mergeCell ref="P49:P50"/>
    <mergeCell ref="Q49:Q50"/>
    <mergeCell ref="R49:R50"/>
    <mergeCell ref="S49:T49"/>
    <mergeCell ref="S50:T50"/>
    <mergeCell ref="C55:M56"/>
    <mergeCell ref="F58:G58"/>
    <mergeCell ref="D59:D60"/>
    <mergeCell ref="E59:E60"/>
    <mergeCell ref="F59:G59"/>
    <mergeCell ref="F60:G60"/>
    <mergeCell ref="C59:C60"/>
    <mergeCell ref="P55:Z56"/>
    <mergeCell ref="S58:T58"/>
    <mergeCell ref="P59:P60"/>
    <mergeCell ref="Q59:Q60"/>
    <mergeCell ref="R59:R60"/>
    <mergeCell ref="S59:T59"/>
    <mergeCell ref="S60:T60"/>
  </mergeCells>
  <conditionalFormatting sqref="H13:H14">
    <cfRule type="cellIs" dxfId="31" priority="37" operator="equal">
      <formula>3</formula>
    </cfRule>
  </conditionalFormatting>
  <conditionalFormatting sqref="H17:H18">
    <cfRule type="cellIs" dxfId="30" priority="36" operator="equal">
      <formula>3</formula>
    </cfRule>
  </conditionalFormatting>
  <conditionalFormatting sqref="H21:H22">
    <cfRule type="cellIs" dxfId="29" priority="35" operator="equal">
      <formula>3</formula>
    </cfRule>
  </conditionalFormatting>
  <conditionalFormatting sqref="H25:H26">
    <cfRule type="cellIs" dxfId="28" priority="34" operator="equal">
      <formula>3</formula>
    </cfRule>
  </conditionalFormatting>
  <conditionalFormatting sqref="H29:H30">
    <cfRule type="cellIs" dxfId="27" priority="33" operator="equal">
      <formula>3</formula>
    </cfRule>
  </conditionalFormatting>
  <conditionalFormatting sqref="U13:U14">
    <cfRule type="cellIs" dxfId="26" priority="30" operator="equal">
      <formula>3</formula>
    </cfRule>
  </conditionalFormatting>
  <conditionalFormatting sqref="U17:U18">
    <cfRule type="cellIs" dxfId="25" priority="29" operator="equal">
      <formula>3</formula>
    </cfRule>
  </conditionalFormatting>
  <conditionalFormatting sqref="U21:U22">
    <cfRule type="cellIs" dxfId="24" priority="28" operator="equal">
      <formula>3</formula>
    </cfRule>
  </conditionalFormatting>
  <conditionalFormatting sqref="U25:U26">
    <cfRule type="cellIs" dxfId="23" priority="27" operator="equal">
      <formula>3</formula>
    </cfRule>
  </conditionalFormatting>
  <conditionalFormatting sqref="U29:U30">
    <cfRule type="cellIs" dxfId="22" priority="26" operator="equal">
      <formula>3</formula>
    </cfRule>
  </conditionalFormatting>
  <conditionalFormatting sqref="U9:U10">
    <cfRule type="cellIs" dxfId="21" priority="24" operator="equal">
      <formula>3</formula>
    </cfRule>
  </conditionalFormatting>
  <conditionalFormatting sqref="AH13:AH14">
    <cfRule type="cellIs" dxfId="20" priority="22" operator="equal">
      <formula>3</formula>
    </cfRule>
  </conditionalFormatting>
  <conditionalFormatting sqref="AH17:AH18">
    <cfRule type="cellIs" dxfId="19" priority="21" operator="equal">
      <formula>3</formula>
    </cfRule>
  </conditionalFormatting>
  <conditionalFormatting sqref="AH21:AH22">
    <cfRule type="cellIs" dxfId="18" priority="20" operator="equal">
      <formula>3</formula>
    </cfRule>
  </conditionalFormatting>
  <conditionalFormatting sqref="AH25:AH26">
    <cfRule type="cellIs" dxfId="17" priority="19" operator="equal">
      <formula>3</formula>
    </cfRule>
  </conditionalFormatting>
  <conditionalFormatting sqref="AH29:AH30">
    <cfRule type="cellIs" dxfId="16" priority="18" operator="equal">
      <formula>3</formula>
    </cfRule>
  </conditionalFormatting>
  <conditionalFormatting sqref="AU9:AU10">
    <cfRule type="cellIs" dxfId="15" priority="17" operator="equal">
      <formula>3</formula>
    </cfRule>
  </conditionalFormatting>
  <conditionalFormatting sqref="AU13:AU14">
    <cfRule type="cellIs" dxfId="14" priority="16" operator="equal">
      <formula>3</formula>
    </cfRule>
  </conditionalFormatting>
  <conditionalFormatting sqref="AU17:AU18">
    <cfRule type="cellIs" dxfId="13" priority="15" operator="equal">
      <formula>3</formula>
    </cfRule>
  </conditionalFormatting>
  <conditionalFormatting sqref="AU21:AU22">
    <cfRule type="cellIs" dxfId="12" priority="14" operator="equal">
      <formula>3</formula>
    </cfRule>
  </conditionalFormatting>
  <conditionalFormatting sqref="AU25:AU26">
    <cfRule type="cellIs" dxfId="11" priority="13" operator="equal">
      <formula>3</formula>
    </cfRule>
  </conditionalFormatting>
  <conditionalFormatting sqref="AU29:AU30">
    <cfRule type="cellIs" dxfId="10" priority="12" operator="equal">
      <formula>3</formula>
    </cfRule>
  </conditionalFormatting>
  <conditionalFormatting sqref="H9:H10">
    <cfRule type="cellIs" dxfId="9" priority="10" operator="equal">
      <formula>3</formula>
    </cfRule>
  </conditionalFormatting>
  <conditionalFormatting sqref="AH9:AH10">
    <cfRule type="cellIs" dxfId="8" priority="9" operator="equal">
      <formula>3</formula>
    </cfRule>
  </conditionalFormatting>
  <conditionalFormatting sqref="H39:H40">
    <cfRule type="cellIs" dxfId="7" priority="8" operator="equal">
      <formula>3</formula>
    </cfRule>
  </conditionalFormatting>
  <conditionalFormatting sqref="U39:U40">
    <cfRule type="cellIs" dxfId="6" priority="7" operator="equal">
      <formula>3</formula>
    </cfRule>
  </conditionalFormatting>
  <conditionalFormatting sqref="AH39:AH40">
    <cfRule type="cellIs" dxfId="5" priority="6" operator="equal">
      <formula>3</formula>
    </cfRule>
  </conditionalFormatting>
  <conditionalFormatting sqref="AU39:AU40">
    <cfRule type="cellIs" dxfId="4" priority="5" operator="equal">
      <formula>3</formula>
    </cfRule>
  </conditionalFormatting>
  <conditionalFormatting sqref="H49:H50">
    <cfRule type="cellIs" dxfId="3" priority="4" operator="equal">
      <formula>3</formula>
    </cfRule>
  </conditionalFormatting>
  <conditionalFormatting sqref="U49:U50">
    <cfRule type="cellIs" dxfId="2" priority="3" operator="equal">
      <formula>3</formula>
    </cfRule>
  </conditionalFormatting>
  <conditionalFormatting sqref="H59:H60">
    <cfRule type="cellIs" dxfId="1" priority="2" operator="equal">
      <formula>3</formula>
    </cfRule>
  </conditionalFormatting>
  <conditionalFormatting sqref="U59:U60">
    <cfRule type="cellIs" dxfId="0" priority="1" operator="equal">
      <formula>3</formula>
    </cfRule>
  </conditionalFormatting>
  <dataValidations count="1">
    <dataValidation type="whole" operator="greaterThanOrEqual" allowBlank="1" showInputMessage="1" showErrorMessage="1" errorTitle="Внимание!" error="Ако виждаш това значи си объркал нещо! :)" sqref="I9:M10 I13:M14 I17:M18 I21:M22 I25:M26 I29:M30 V29:Z30 V25:Z26 V21:Z22 V17:Z18 V13:Z14 V9:Z10 AI9:AM10 AI13:AM14 AI17:AM18 AI21:AM22 AI25:AM26 AI29:AM30 AV9:AZ10 AV13:AZ14 AV17:AZ18 AV21:AZ22 AV25:AZ26 AV29:AZ30 AV39:AZ40 AI39:AM40 V39:Z40 I39:M40 I49:M50 V49:Z50 I59:M60 V59:Z60" xr:uid="{859D6026-A8DE-49DC-91CD-DCEDB9E35517}">
      <formula1>0</formula1>
    </dataValidation>
  </dataValidations>
  <hyperlinks>
    <hyperlink ref="BB61" location="'Easter Egg'!A1" display="." xr:uid="{D719F116-E1EC-48F5-9FFC-56F801A68DC2}"/>
    <hyperlink ref="B2:C3" location="Начало!A1" display="← Назад" xr:uid="{99DA816C-75DE-4BC9-BB9B-5AD781933CF9}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C8AFE-35BC-412A-9825-ABBD928524CE}">
  <sheetPr codeName="Sheet4"/>
  <dimension ref="A1:U47"/>
  <sheetViews>
    <sheetView zoomScale="87" zoomScaleNormal="87" workbookViewId="0">
      <selection activeCell="R7" sqref="R7"/>
    </sheetView>
  </sheetViews>
  <sheetFormatPr defaultColWidth="0" defaultRowHeight="15" zeroHeight="1" x14ac:dyDescent="0.25"/>
  <cols>
    <col min="1" max="1" width="1.28515625" style="4" customWidth="1"/>
    <col min="2" max="20" width="9.140625" customWidth="1"/>
    <col min="21" max="21" width="1.28515625" style="4" customWidth="1"/>
    <col min="22" max="16384" width="9.140625" hidden="1"/>
  </cols>
  <sheetData>
    <row r="1" spans="17:20" s="4" customFormat="1" ht="7.5" customHeight="1" x14ac:dyDescent="0.25"/>
    <row r="2" spans="17:20" x14ac:dyDescent="0.25">
      <c r="Q2" s="4"/>
      <c r="R2" s="4"/>
      <c r="S2" s="4"/>
      <c r="T2" s="4"/>
    </row>
    <row r="3" spans="17:20" ht="15" customHeight="1" x14ac:dyDescent="0.25">
      <c r="Q3" s="4"/>
      <c r="R3" s="169" t="s">
        <v>78</v>
      </c>
      <c r="S3" s="169"/>
      <c r="T3" s="169"/>
    </row>
    <row r="4" spans="17:20" x14ac:dyDescent="0.25">
      <c r="Q4" s="4"/>
      <c r="R4" s="169"/>
      <c r="S4" s="169"/>
      <c r="T4" s="169"/>
    </row>
    <row r="5" spans="17:20" x14ac:dyDescent="0.25">
      <c r="Q5" s="4"/>
      <c r="R5" s="169"/>
      <c r="S5" s="169"/>
      <c r="T5" s="169"/>
    </row>
    <row r="6" spans="17:20" x14ac:dyDescent="0.25">
      <c r="Q6" s="4"/>
      <c r="R6" s="169"/>
      <c r="S6" s="169"/>
      <c r="T6" s="169"/>
    </row>
    <row r="7" spans="17:20" x14ac:dyDescent="0.25">
      <c r="Q7" s="4"/>
      <c r="R7" s="4"/>
      <c r="S7" s="4"/>
      <c r="T7" s="4"/>
    </row>
    <row r="8" spans="17:20" x14ac:dyDescent="0.25">
      <c r="Q8" s="4"/>
      <c r="R8" s="4"/>
      <c r="S8" s="4"/>
      <c r="T8" s="4"/>
    </row>
    <row r="9" spans="17:20" x14ac:dyDescent="0.25">
      <c r="Q9" s="4"/>
      <c r="R9" s="4"/>
      <c r="S9" s="4"/>
      <c r="T9" s="4"/>
    </row>
    <row r="10" spans="17:20" x14ac:dyDescent="0.25">
      <c r="Q10" s="4"/>
      <c r="R10" s="4"/>
      <c r="S10" s="4"/>
      <c r="T10" s="4"/>
    </row>
    <row r="11" spans="17:20" x14ac:dyDescent="0.25">
      <c r="Q11" s="4"/>
      <c r="R11" s="4"/>
      <c r="S11" s="4"/>
      <c r="T11" s="4"/>
    </row>
    <row r="12" spans="17:20" x14ac:dyDescent="0.25">
      <c r="Q12" s="4"/>
      <c r="R12" s="4"/>
      <c r="S12" s="4"/>
      <c r="T12" s="4"/>
    </row>
    <row r="13" spans="17:20" x14ac:dyDescent="0.25">
      <c r="Q13" s="4"/>
      <c r="R13" s="4"/>
      <c r="S13" s="4"/>
      <c r="T13" s="4"/>
    </row>
    <row r="14" spans="17:20" x14ac:dyDescent="0.25">
      <c r="Q14" s="4"/>
      <c r="R14" s="4"/>
      <c r="S14" s="4"/>
      <c r="T14" s="4"/>
    </row>
    <row r="15" spans="17:20" x14ac:dyDescent="0.25">
      <c r="Q15" s="4"/>
      <c r="R15" s="4"/>
      <c r="S15" s="4"/>
      <c r="T15" s="4"/>
    </row>
    <row r="16" spans="17:20" x14ac:dyDescent="0.25">
      <c r="Q16" s="4"/>
      <c r="R16" s="4"/>
      <c r="S16" s="4"/>
      <c r="T16" s="4"/>
    </row>
    <row r="17" spans="17:20" x14ac:dyDescent="0.25">
      <c r="Q17" s="4"/>
      <c r="R17" s="4"/>
      <c r="S17" s="4"/>
      <c r="T17" s="4"/>
    </row>
    <row r="18" spans="17:20" x14ac:dyDescent="0.25">
      <c r="Q18" s="4"/>
      <c r="R18" s="4"/>
      <c r="S18" s="4"/>
      <c r="T18" s="4"/>
    </row>
    <row r="19" spans="17:20" x14ac:dyDescent="0.25">
      <c r="Q19" s="4"/>
      <c r="R19" s="4"/>
      <c r="S19" s="4"/>
      <c r="T19" s="4"/>
    </row>
    <row r="20" spans="17:20" x14ac:dyDescent="0.25">
      <c r="Q20" s="4"/>
      <c r="R20" s="4"/>
      <c r="S20" s="4"/>
      <c r="T20" s="4"/>
    </row>
    <row r="21" spans="17:20" x14ac:dyDescent="0.25">
      <c r="Q21" s="4"/>
      <c r="R21" s="4"/>
      <c r="S21" s="4"/>
      <c r="T21" s="4"/>
    </row>
    <row r="22" spans="17:20" x14ac:dyDescent="0.25">
      <c r="Q22" s="4"/>
      <c r="R22" s="4"/>
      <c r="S22" s="4"/>
      <c r="T22" s="4"/>
    </row>
    <row r="23" spans="17:20" x14ac:dyDescent="0.25">
      <c r="Q23" s="4"/>
      <c r="R23" s="4"/>
      <c r="S23" s="4"/>
      <c r="T23" s="4"/>
    </row>
    <row r="24" spans="17:20" x14ac:dyDescent="0.25">
      <c r="Q24" s="4"/>
      <c r="R24" s="4"/>
      <c r="S24" s="4"/>
      <c r="T24" s="4"/>
    </row>
    <row r="25" spans="17:20" x14ac:dyDescent="0.25">
      <c r="Q25" s="4"/>
      <c r="R25" s="4"/>
      <c r="S25" s="4"/>
      <c r="T25" s="4"/>
    </row>
    <row r="26" spans="17:20" x14ac:dyDescent="0.25">
      <c r="Q26" s="4"/>
      <c r="R26" s="4"/>
      <c r="S26" s="4"/>
      <c r="T26" s="4"/>
    </row>
    <row r="27" spans="17:20" x14ac:dyDescent="0.25">
      <c r="Q27" s="4"/>
      <c r="R27" s="4"/>
      <c r="S27" s="4"/>
      <c r="T27" s="4"/>
    </row>
    <row r="28" spans="17:20" x14ac:dyDescent="0.25">
      <c r="Q28" s="4"/>
      <c r="R28" s="4"/>
      <c r="S28" s="4"/>
      <c r="T28" s="4"/>
    </row>
    <row r="29" spans="17:20" x14ac:dyDescent="0.25">
      <c r="Q29" s="4"/>
      <c r="R29" s="4"/>
      <c r="S29" s="4"/>
      <c r="T29" s="4"/>
    </row>
    <row r="30" spans="17:20" x14ac:dyDescent="0.25">
      <c r="Q30" s="4"/>
      <c r="R30" s="4"/>
      <c r="S30" s="4"/>
      <c r="T30" s="4"/>
    </row>
    <row r="31" spans="17:20" x14ac:dyDescent="0.25">
      <c r="Q31" s="4"/>
      <c r="R31" s="4"/>
      <c r="S31" s="4"/>
      <c r="T31" s="4"/>
    </row>
    <row r="32" spans="17:20" x14ac:dyDescent="0.25">
      <c r="Q32" s="4"/>
      <c r="R32" s="4"/>
      <c r="S32" s="4"/>
      <c r="T32" s="4"/>
    </row>
    <row r="33" spans="17:20" x14ac:dyDescent="0.25">
      <c r="Q33" s="4"/>
      <c r="R33" s="4"/>
      <c r="S33" s="4"/>
      <c r="T33" s="4"/>
    </row>
    <row r="34" spans="17:20" x14ac:dyDescent="0.25">
      <c r="Q34" s="4"/>
      <c r="R34" s="4"/>
      <c r="S34" s="4"/>
      <c r="T34" s="4"/>
    </row>
    <row r="35" spans="17:20" x14ac:dyDescent="0.25">
      <c r="Q35" s="4"/>
      <c r="R35" s="4"/>
      <c r="S35" s="4"/>
      <c r="T35" s="4"/>
    </row>
    <row r="36" spans="17:20" x14ac:dyDescent="0.25">
      <c r="Q36" s="4"/>
      <c r="R36" s="4"/>
      <c r="S36" s="4"/>
      <c r="T36" s="4"/>
    </row>
    <row r="37" spans="17:20" x14ac:dyDescent="0.25">
      <c r="Q37" s="4"/>
      <c r="R37" s="4"/>
      <c r="S37" s="4"/>
      <c r="T37" s="4"/>
    </row>
    <row r="38" spans="17:20" x14ac:dyDescent="0.25">
      <c r="Q38" s="4"/>
      <c r="R38" s="4"/>
      <c r="S38" s="4"/>
      <c r="T38" s="4"/>
    </row>
    <row r="39" spans="17:20" x14ac:dyDescent="0.25">
      <c r="Q39" s="4"/>
      <c r="R39" s="4"/>
      <c r="S39" s="4"/>
      <c r="T39" s="4"/>
    </row>
    <row r="40" spans="17:20" x14ac:dyDescent="0.25">
      <c r="Q40" s="4"/>
      <c r="R40" s="4"/>
      <c r="S40" s="4"/>
      <c r="T40" s="4"/>
    </row>
    <row r="41" spans="17:20" x14ac:dyDescent="0.25">
      <c r="Q41" s="4"/>
      <c r="R41" s="4"/>
      <c r="S41" s="4"/>
      <c r="T41" s="4"/>
    </row>
    <row r="42" spans="17:20" x14ac:dyDescent="0.25">
      <c r="Q42" s="4"/>
      <c r="R42" s="4"/>
      <c r="S42" s="4"/>
      <c r="T42" s="4"/>
    </row>
    <row r="43" spans="17:20" x14ac:dyDescent="0.25">
      <c r="Q43" s="4"/>
      <c r="R43" s="4"/>
      <c r="S43" s="4"/>
      <c r="T43" s="4"/>
    </row>
    <row r="44" spans="17:20" x14ac:dyDescent="0.25">
      <c r="Q44" s="4"/>
      <c r="R44" s="4"/>
      <c r="S44" s="4"/>
      <c r="T44" s="4"/>
    </row>
    <row r="45" spans="17:20" x14ac:dyDescent="0.25">
      <c r="Q45" s="4"/>
      <c r="R45" s="4"/>
      <c r="S45" s="4"/>
      <c r="T45" s="4"/>
    </row>
    <row r="46" spans="17:20" x14ac:dyDescent="0.25">
      <c r="Q46" s="4"/>
      <c r="R46" s="4"/>
      <c r="S46" s="4"/>
      <c r="T46" s="4"/>
    </row>
    <row r="47" spans="17:20" s="4" customFormat="1" ht="7.5" customHeight="1" x14ac:dyDescent="0.25"/>
  </sheetData>
  <mergeCells count="1">
    <mergeCell ref="R3:T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ED962-185F-4CB0-BCD9-20E479458740}">
  <sheetPr codeName="Sheet5"/>
  <dimension ref="A1:BB75"/>
  <sheetViews>
    <sheetView zoomScale="48" zoomScaleNormal="48" workbookViewId="0">
      <selection activeCell="B2" sqref="B2:C3"/>
    </sheetView>
  </sheetViews>
  <sheetFormatPr defaultColWidth="0" defaultRowHeight="15" zeroHeight="1" x14ac:dyDescent="0.25"/>
  <cols>
    <col min="1" max="1" width="1.28515625" style="4" customWidth="1"/>
    <col min="2" max="3" width="9" style="14" customWidth="1"/>
    <col min="4" max="4" width="11.85546875" style="14" customWidth="1"/>
    <col min="5" max="27" width="9" style="14" customWidth="1"/>
    <col min="28" max="28" width="9.140625" style="14" customWidth="1"/>
    <col min="29" max="29" width="3" style="13" customWidth="1"/>
    <col min="30" max="47" width="9.140625" style="14" customWidth="1"/>
    <col min="48" max="48" width="1.28515625" style="13" customWidth="1"/>
    <col min="49" max="54" width="0" style="14" hidden="1" customWidth="1"/>
    <col min="55" max="16384" width="9.140625" style="14" hidden="1"/>
  </cols>
  <sheetData>
    <row r="1" spans="2:54" s="4" customFormat="1" ht="6" customHeight="1" thickBot="1" x14ac:dyDescent="0.3"/>
    <row r="2" spans="2:54" ht="15.75" thickBot="1" x14ac:dyDescent="0.3">
      <c r="B2" s="159" t="s">
        <v>67</v>
      </c>
      <c r="C2" s="160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</row>
    <row r="3" spans="2:54" ht="15.75" thickBot="1" x14ac:dyDescent="0.3">
      <c r="B3" s="161"/>
      <c r="C3" s="162"/>
      <c r="D3" s="12"/>
      <c r="E3" s="12"/>
      <c r="F3" s="12"/>
      <c r="G3" s="12"/>
      <c r="H3" s="12"/>
      <c r="I3" s="217" t="s">
        <v>64</v>
      </c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9"/>
      <c r="U3" s="12"/>
      <c r="V3" s="12"/>
      <c r="W3" s="12"/>
      <c r="X3" s="12"/>
      <c r="Y3" s="12"/>
      <c r="Z3" s="12"/>
      <c r="AA3" s="12"/>
      <c r="AB3" s="12"/>
      <c r="AD3" s="12"/>
      <c r="AE3" s="12"/>
      <c r="AF3" s="12"/>
      <c r="AG3" s="217" t="s">
        <v>65</v>
      </c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9"/>
      <c r="AS3" s="12"/>
      <c r="AT3" s="12"/>
      <c r="AU3" s="12"/>
    </row>
    <row r="4" spans="2:54" x14ac:dyDescent="0.25">
      <c r="B4" s="12"/>
      <c r="C4" s="12"/>
      <c r="D4" s="12"/>
      <c r="E4" s="12"/>
      <c r="F4" s="12"/>
      <c r="G4" s="12"/>
      <c r="H4" s="12"/>
      <c r="I4" s="220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2"/>
      <c r="U4" s="12"/>
      <c r="V4" s="12"/>
      <c r="W4" s="12"/>
      <c r="X4" s="12"/>
      <c r="Y4" s="12"/>
      <c r="Z4" s="12"/>
      <c r="AA4" s="12"/>
      <c r="AB4" s="12"/>
      <c r="AD4" s="12"/>
      <c r="AE4" s="12"/>
      <c r="AF4" s="12"/>
      <c r="AG4" s="220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2"/>
      <c r="AS4" s="12"/>
      <c r="AT4" s="12"/>
      <c r="AU4" s="12"/>
    </row>
    <row r="5" spans="2:54" x14ac:dyDescent="0.25">
      <c r="B5" s="12"/>
      <c r="C5" s="12"/>
      <c r="D5" s="12"/>
      <c r="E5" s="12"/>
      <c r="F5" s="12"/>
      <c r="G5" s="12"/>
      <c r="H5" s="12"/>
      <c r="I5" s="220"/>
      <c r="J5" s="221"/>
      <c r="K5" s="221"/>
      <c r="L5" s="221"/>
      <c r="M5" s="221"/>
      <c r="N5" s="221"/>
      <c r="O5" s="221"/>
      <c r="P5" s="221"/>
      <c r="Q5" s="221"/>
      <c r="R5" s="221"/>
      <c r="S5" s="221"/>
      <c r="T5" s="222"/>
      <c r="U5" s="12"/>
      <c r="V5" s="12"/>
      <c r="W5" s="12"/>
      <c r="X5" s="12"/>
      <c r="Y5" s="12"/>
      <c r="Z5" s="12"/>
      <c r="AA5" s="12"/>
      <c r="AB5" s="12"/>
      <c r="AD5" s="12"/>
      <c r="AE5" s="12"/>
      <c r="AF5" s="12"/>
      <c r="AG5" s="220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2"/>
      <c r="AS5" s="12"/>
      <c r="AT5" s="12"/>
      <c r="AU5" s="12"/>
    </row>
    <row r="6" spans="2:54" ht="15.75" thickBot="1" x14ac:dyDescent="0.3">
      <c r="B6" s="12"/>
      <c r="C6" s="12"/>
      <c r="D6" s="12"/>
      <c r="E6" s="12"/>
      <c r="F6" s="12"/>
      <c r="G6" s="12"/>
      <c r="H6" s="12"/>
      <c r="I6" s="223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5"/>
      <c r="U6" s="12"/>
      <c r="V6" s="12"/>
      <c r="W6" s="12"/>
      <c r="X6" s="12"/>
      <c r="Y6" s="12"/>
      <c r="Z6" s="12"/>
      <c r="AA6" s="12"/>
      <c r="AB6" s="12"/>
      <c r="AD6" s="12"/>
      <c r="AE6" s="12"/>
      <c r="AF6" s="12"/>
      <c r="AG6" s="223"/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5"/>
      <c r="AS6" s="12"/>
      <c r="AT6" s="12"/>
      <c r="AU6" s="12"/>
    </row>
    <row r="7" spans="2:54" x14ac:dyDescent="0.25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</row>
    <row r="8" spans="2:54" ht="15.75" thickBot="1" x14ac:dyDescent="0.3"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</row>
    <row r="9" spans="2:54" ht="15" customHeight="1" x14ac:dyDescent="0.25">
      <c r="B9" s="12"/>
      <c r="C9" s="186" t="s">
        <v>2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4"/>
      <c r="O9" s="15"/>
      <c r="P9" s="186" t="s">
        <v>3</v>
      </c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4"/>
      <c r="AB9" s="15"/>
      <c r="AC9" s="16"/>
      <c r="AD9" s="15"/>
      <c r="AE9" s="170"/>
      <c r="AF9" s="172" t="str">
        <f>Програма!H49</f>
        <v>Сърбия</v>
      </c>
      <c r="AG9" s="172"/>
      <c r="AH9" s="174">
        <f>Резултати!H39</f>
        <v>0</v>
      </c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5"/>
      <c r="AV9" s="16"/>
      <c r="AW9" s="17"/>
      <c r="AX9" s="17"/>
      <c r="AY9" s="17"/>
      <c r="AZ9" s="17"/>
      <c r="BA9" s="17"/>
      <c r="BB9" s="17"/>
    </row>
    <row r="10" spans="2:54" ht="15" customHeight="1" thickBot="1" x14ac:dyDescent="0.3">
      <c r="B10" s="12"/>
      <c r="C10" s="187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9"/>
      <c r="O10" s="15"/>
      <c r="P10" s="187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9"/>
      <c r="AB10" s="15"/>
      <c r="AC10" s="16"/>
      <c r="AD10" s="15"/>
      <c r="AE10" s="171"/>
      <c r="AF10" s="173"/>
      <c r="AG10" s="173"/>
      <c r="AH10" s="175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5"/>
      <c r="AV10" s="16"/>
      <c r="AW10" s="17"/>
      <c r="AX10" s="17"/>
      <c r="AY10" s="17"/>
      <c r="AZ10" s="17"/>
      <c r="BA10" s="17"/>
      <c r="BB10" s="17"/>
    </row>
    <row r="11" spans="2:54" ht="16.5" thickTop="1" thickBot="1" x14ac:dyDescent="0.3"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D11" s="12"/>
      <c r="AE11" s="171"/>
      <c r="AF11" s="173" t="str">
        <f>Програма!J49</f>
        <v>Бразилия</v>
      </c>
      <c r="AG11" s="173"/>
      <c r="AH11" s="175">
        <f>Резултати!H40</f>
        <v>0</v>
      </c>
      <c r="AI11" s="18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</row>
    <row r="12" spans="2:54" ht="15.75" thickBot="1" x14ac:dyDescent="0.3">
      <c r="B12" s="12"/>
      <c r="C12" s="19" t="s">
        <v>6</v>
      </c>
      <c r="D12" s="20" t="s">
        <v>7</v>
      </c>
      <c r="E12" s="20" t="s">
        <v>8</v>
      </c>
      <c r="F12" s="20" t="s">
        <v>9</v>
      </c>
      <c r="G12" s="20" t="s">
        <v>10</v>
      </c>
      <c r="H12" s="20" t="s">
        <v>30</v>
      </c>
      <c r="I12" s="20" t="s">
        <v>31</v>
      </c>
      <c r="J12" s="20" t="s">
        <v>12</v>
      </c>
      <c r="K12" s="20" t="s">
        <v>32</v>
      </c>
      <c r="L12" s="20" t="s">
        <v>33</v>
      </c>
      <c r="M12" s="20" t="s">
        <v>13</v>
      </c>
      <c r="N12" s="21" t="s">
        <v>14</v>
      </c>
      <c r="O12" s="12"/>
      <c r="P12" s="19" t="s">
        <v>6</v>
      </c>
      <c r="Q12" s="20" t="s">
        <v>7</v>
      </c>
      <c r="R12" s="20" t="s">
        <v>8</v>
      </c>
      <c r="S12" s="20" t="s">
        <v>9</v>
      </c>
      <c r="T12" s="20" t="s">
        <v>10</v>
      </c>
      <c r="U12" s="20" t="s">
        <v>30</v>
      </c>
      <c r="V12" s="20" t="s">
        <v>31</v>
      </c>
      <c r="W12" s="20" t="s">
        <v>12</v>
      </c>
      <c r="X12" s="20" t="s">
        <v>32</v>
      </c>
      <c r="Y12" s="20" t="s">
        <v>33</v>
      </c>
      <c r="Z12" s="20" t="s">
        <v>13</v>
      </c>
      <c r="AA12" s="21" t="s">
        <v>14</v>
      </c>
      <c r="AB12" s="12"/>
      <c r="AC12" s="22"/>
      <c r="AD12" s="12"/>
      <c r="AE12" s="177"/>
      <c r="AF12" s="178"/>
      <c r="AG12" s="178"/>
      <c r="AH12" s="179"/>
      <c r="AI12" s="23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</row>
    <row r="13" spans="2:54" x14ac:dyDescent="0.25">
      <c r="B13" s="12"/>
      <c r="C13" s="24">
        <v>1</v>
      </c>
      <c r="D13" s="25" t="str">
        <f>Програма!Z14</f>
        <v>Сърбия</v>
      </c>
      <c r="E13" s="26">
        <f>COUNTIFS(Резултати!F8:G30,D13)</f>
        <v>3</v>
      </c>
      <c r="F13" s="26">
        <f>IF(Резултати!H9=3,1,0)+IF(Резултати!H21=3,1,0)+IF(Резултати!H30=3,1,0)</f>
        <v>0</v>
      </c>
      <c r="G13" s="26">
        <f>E13-F13</f>
        <v>3</v>
      </c>
      <c r="H13" s="26">
        <f>SUM(Резултати!H9,Резултати!H21,Резултати!H30)</f>
        <v>0</v>
      </c>
      <c r="I13" s="26">
        <f>SUM(Резултати!H10,Резултати!H22,Резултати!H29)</f>
        <v>0</v>
      </c>
      <c r="J13" s="26" t="e">
        <f>H13/I13</f>
        <v>#DIV/0!</v>
      </c>
      <c r="K13" s="26">
        <f>SUM(Резултати!I9:M9,Резултати!I21:M21,Резултати!I30:M30)</f>
        <v>0</v>
      </c>
      <c r="L13" s="26">
        <f>SUM(Резултати!I10:M10,Резултати!I22:M22,Резултати!I29:M29)</f>
        <v>0</v>
      </c>
      <c r="M13" s="26" t="e">
        <f>K13/L13</f>
        <v>#DIV/0!</v>
      </c>
      <c r="N13" s="27">
        <f>SUM(Резултати!N9,Резултати!N21,Резултати!N30)</f>
        <v>0</v>
      </c>
      <c r="O13" s="12"/>
      <c r="P13" s="28">
        <v>1</v>
      </c>
      <c r="Q13" s="29" t="str">
        <f>Програма!AD16</f>
        <v>Куба</v>
      </c>
      <c r="R13" s="26">
        <f>COUNTIFS(Резултати!$S$8:$T$30,Q13)</f>
        <v>3</v>
      </c>
      <c r="S13" s="26">
        <f>IF(Резултати!U13=3,1,0)+IF(Резултати!U22=3,1,0)+IF(Резултати!U26=3,1,0)</f>
        <v>0</v>
      </c>
      <c r="T13" s="26">
        <f>R13-S13</f>
        <v>3</v>
      </c>
      <c r="U13" s="26">
        <f>SUM(Резултати!U13,Резултати!U22,Резултати!U26)</f>
        <v>0</v>
      </c>
      <c r="V13" s="26">
        <f>SUM(Резултати!U14,Резултати!U21,Резултати!U25)</f>
        <v>0</v>
      </c>
      <c r="W13" s="26" t="e">
        <f>U13/V13</f>
        <v>#DIV/0!</v>
      </c>
      <c r="X13" s="26">
        <f>SUM(Резултати!V13:Z13,Резултати!V22:Z22,Резултати!V26:Z26)</f>
        <v>0</v>
      </c>
      <c r="Y13" s="26">
        <f>SUM(Резултати!V14:Z14,Резултати!V21:Z21,Резултати!V25:Z25)</f>
        <v>0</v>
      </c>
      <c r="Z13" s="26" t="e">
        <f>X13/Y13</f>
        <v>#DIV/0!</v>
      </c>
      <c r="AA13" s="27">
        <f>SUM(Резултати!AA13,Резултати!AA22,Резултати!AA26)</f>
        <v>0</v>
      </c>
      <c r="AB13" s="12"/>
      <c r="AD13" s="12"/>
      <c r="AE13" s="12"/>
      <c r="AF13" s="12"/>
      <c r="AG13" s="12"/>
      <c r="AH13" s="12"/>
      <c r="AI13" s="23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</row>
    <row r="14" spans="2:54" x14ac:dyDescent="0.25">
      <c r="B14" s="12"/>
      <c r="C14" s="24">
        <v>2</v>
      </c>
      <c r="D14" s="25" t="str">
        <f>Програма!Z16</f>
        <v>Тунис</v>
      </c>
      <c r="E14" s="26">
        <f>COUNTIFS(Резултати!F10:G32,D14)</f>
        <v>3</v>
      </c>
      <c r="F14" s="26">
        <f>IF(Резултати!H13=3,1,0)+IF(Резултати!H22=3,1,0)+IF(Резултати!H26=3,1,0)</f>
        <v>0</v>
      </c>
      <c r="G14" s="26">
        <f>E14-F14</f>
        <v>3</v>
      </c>
      <c r="H14" s="26">
        <f>SUM(Резултати!H13,Резултати!H22,Резултати!H26)</f>
        <v>0</v>
      </c>
      <c r="I14" s="26">
        <f>SUM(Резултати!H14,Резултати!H21,Резултати!H25)</f>
        <v>0</v>
      </c>
      <c r="J14" s="26" t="e">
        <f>H14/I14</f>
        <v>#DIV/0!</v>
      </c>
      <c r="K14" s="26">
        <f>SUM(Резултати!I13:M13,Резултати!I22:M22,Резултати!I26:M26)</f>
        <v>0</v>
      </c>
      <c r="L14" s="26">
        <f>SUM(Резултати!I14:M14,Резултати!I21:M21,Резултати!I25:M25)</f>
        <v>0</v>
      </c>
      <c r="M14" s="26" t="e">
        <f>K14/L14</f>
        <v>#DIV/0!</v>
      </c>
      <c r="N14" s="27">
        <f>SUM(Резултати!N13,Резултати!N22,Резултати!N26)</f>
        <v>0</v>
      </c>
      <c r="O14" s="12"/>
      <c r="P14" s="28">
        <v>2</v>
      </c>
      <c r="Q14" s="29" t="str">
        <f>Програма!AD14</f>
        <v>Бразилия</v>
      </c>
      <c r="R14" s="26">
        <f>COUNTIFS(Резултати!$S$8:$T$30,Q14)</f>
        <v>3</v>
      </c>
      <c r="S14" s="26">
        <f>IF(Резултати!U9=3,1,0)+IF(Резултати!U21=3,1,0)+IF(Резултати!U30=3,1,0)</f>
        <v>0</v>
      </c>
      <c r="T14" s="26">
        <f>R14-S14</f>
        <v>3</v>
      </c>
      <c r="U14" s="26">
        <f>SUM(Резултати!U9,Резултати!U21,Резултати!U30)</f>
        <v>0</v>
      </c>
      <c r="V14" s="26">
        <f>SUM(Резултати!U10,Резултати!U22,Резултати!U29)</f>
        <v>0</v>
      </c>
      <c r="W14" s="26" t="e">
        <f>U14/V14</f>
        <v>#DIV/0!</v>
      </c>
      <c r="X14" s="26">
        <f>SUM(Резултати!V9:Z9,Резултати!V21:Z21,Резултати!V30:Z30)</f>
        <v>0</v>
      </c>
      <c r="Y14" s="26">
        <f>SUM(Резултати!V10:Z10,Резултати!V22:Z22,Резултати!V29:Z29)</f>
        <v>0</v>
      </c>
      <c r="Z14" s="26" t="e">
        <f>X14/Y14</f>
        <v>#DIV/0!</v>
      </c>
      <c r="AA14" s="27">
        <f>SUM(Резултати!AA9,Резултати!AA21,Резултати!AA30)</f>
        <v>0</v>
      </c>
      <c r="AB14" s="12"/>
      <c r="AD14" s="12"/>
      <c r="AE14" s="12"/>
      <c r="AF14" s="12"/>
      <c r="AG14" s="12"/>
      <c r="AH14" s="12"/>
      <c r="AI14" s="23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</row>
    <row r="15" spans="2:54" ht="15.75" thickBot="1" x14ac:dyDescent="0.3">
      <c r="B15" s="12"/>
      <c r="C15" s="24">
        <v>3</v>
      </c>
      <c r="D15" s="25" t="str">
        <f>Програма!Z15</f>
        <v>Украйна</v>
      </c>
      <c r="E15" s="26">
        <f>COUNTIFS(Резултати!F9:G31,D15)</f>
        <v>3</v>
      </c>
      <c r="F15" s="26">
        <f>IF(Резултати!H10=3,1,0)+IF(Резултати!H17=3,1,0)+IF(Резултати!H25=3,1,0)</f>
        <v>0</v>
      </c>
      <c r="G15" s="26">
        <f>E15-F15</f>
        <v>3</v>
      </c>
      <c r="H15" s="26">
        <f>SUM(Резултати!H10,Резултати!H17,Резултати!H25)</f>
        <v>0</v>
      </c>
      <c r="I15" s="26">
        <f>SUM(Резултати!H9,Резултати!H18,Резултати!H26)</f>
        <v>0</v>
      </c>
      <c r="J15" s="26" t="e">
        <f>H15/I15</f>
        <v>#DIV/0!</v>
      </c>
      <c r="K15" s="26">
        <f>SUM(Резултати!I10:M10,Резултати!I17:M17,Резултати!I25:M25)</f>
        <v>0</v>
      </c>
      <c r="L15" s="26">
        <f>SUM(Резултати!I9:M9,Резултати!I18:M18,Резултати!I26:M26)</f>
        <v>0</v>
      </c>
      <c r="M15" s="26" t="e">
        <f>K15/L15</f>
        <v>#DIV/0!</v>
      </c>
      <c r="N15" s="27">
        <f>SUM(Резултати!N10,Резултати!N17,Резултати!N25)</f>
        <v>0</v>
      </c>
      <c r="O15" s="12"/>
      <c r="P15" s="28">
        <v>3</v>
      </c>
      <c r="Q15" s="29" t="str">
        <f>Програма!AD15</f>
        <v>Япония</v>
      </c>
      <c r="R15" s="26">
        <f>COUNTIFS(Резултати!$S$8:$T$30,Q15)</f>
        <v>3</v>
      </c>
      <c r="S15" s="26">
        <f>IF(Резултати!U10=3,1,0)+IF(Резултати!U17=3,1,0)+IF(Резултати!U25=3,1,0)</f>
        <v>0</v>
      </c>
      <c r="T15" s="26">
        <f>R15-S15</f>
        <v>3</v>
      </c>
      <c r="U15" s="26">
        <f>SUM(Резултати!U10,Резултати!U17,Резултати!U25)</f>
        <v>0</v>
      </c>
      <c r="V15" s="26">
        <f>SUM(Резултати!U9,Резултати!U18,Резултати!U26)</f>
        <v>0</v>
      </c>
      <c r="W15" s="26" t="e">
        <f>U15/V15</f>
        <v>#DIV/0!</v>
      </c>
      <c r="X15" s="26">
        <f>SUM(Резултати!V10:Z10,Резултати!V17:Z17,Резултати!V25:Z25)</f>
        <v>0</v>
      </c>
      <c r="Y15" s="26">
        <f>SUM(Резултати!V9:Z9,Резултати!V18:Z18,Резултати!V26:Z26)</f>
        <v>0</v>
      </c>
      <c r="Z15" s="26" t="e">
        <f>X15/Y15</f>
        <v>#DIV/0!</v>
      </c>
      <c r="AA15" s="27">
        <f>SUM(Резултати!AA10,Резултати!AA25,Резултати!AA17)</f>
        <v>0</v>
      </c>
      <c r="AB15" s="12"/>
      <c r="AD15" s="12"/>
      <c r="AE15" s="12"/>
      <c r="AF15" s="12"/>
      <c r="AG15" s="12"/>
      <c r="AH15" s="12"/>
      <c r="AI15" s="23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</row>
    <row r="16" spans="2:54" ht="15.75" thickBot="1" x14ac:dyDescent="0.3">
      <c r="B16" s="12"/>
      <c r="C16" s="30">
        <v>4</v>
      </c>
      <c r="D16" s="31" t="str">
        <f>Програма!Z17</f>
        <v>Пуерто Рико</v>
      </c>
      <c r="E16" s="32">
        <f>COUNTIFS(Резултати!F11:G33,D16)</f>
        <v>3</v>
      </c>
      <c r="F16" s="32">
        <f>IF(Резултати!H14=3,1,0)+IF(Резултати!H18=3,1,0)+IF(Резултати!H29=3,1,0)</f>
        <v>0</v>
      </c>
      <c r="G16" s="32">
        <f>E16-F16</f>
        <v>3</v>
      </c>
      <c r="H16" s="32">
        <f>SUM(Резултати!H14,Резултати!H18,Резултати!H29)</f>
        <v>0</v>
      </c>
      <c r="I16" s="32">
        <f>SUM(Резултати!H13,Резултати!H17,Резултати!H30)</f>
        <v>0</v>
      </c>
      <c r="J16" s="32" t="e">
        <f>H16/I16</f>
        <v>#DIV/0!</v>
      </c>
      <c r="K16" s="32">
        <f>SUM(Резултати!I14:M14,Резултати!I18:M18,Резултати!I29:M29)</f>
        <v>0</v>
      </c>
      <c r="L16" s="32">
        <f>SUM(Резултати!I13:M13,Резултати!I17:M17,Резултати!I30:M30)</f>
        <v>0</v>
      </c>
      <c r="M16" s="32" t="e">
        <f>K16/L16</f>
        <v>#DIV/0!</v>
      </c>
      <c r="N16" s="33">
        <f>SUM(Резултати!N14,Резултати!N29)</f>
        <v>0</v>
      </c>
      <c r="O16" s="12"/>
      <c r="P16" s="34">
        <v>4</v>
      </c>
      <c r="Q16" s="35" t="str">
        <f>Програма!AD17</f>
        <v>Катар</v>
      </c>
      <c r="R16" s="32">
        <f>COUNTIFS(Резултати!$S$8:$T$30,Q16)</f>
        <v>3</v>
      </c>
      <c r="S16" s="32">
        <f>IF(Резултати!U14=3,1,0)+IF(Резултати!U18=3,1,0)+IF(Резултати!U29=3,1,0)</f>
        <v>0</v>
      </c>
      <c r="T16" s="32">
        <f>R16-S16</f>
        <v>3</v>
      </c>
      <c r="U16" s="32">
        <f>SUM(Резултати!U14,Резултати!U18,Резултати!U29)</f>
        <v>0</v>
      </c>
      <c r="V16" s="32">
        <f>SUM(Резултати!U13,Резултати!U17,Резултати!U30)</f>
        <v>0</v>
      </c>
      <c r="W16" s="32" t="e">
        <f>U16/V16</f>
        <v>#DIV/0!</v>
      </c>
      <c r="X16" s="32">
        <f>SUM(Резултати!V14:Z14,Резултати!V18:Z18,Резултати!V29:Z29)</f>
        <v>0</v>
      </c>
      <c r="Y16" s="32">
        <f>SUM(Резултати!V13:Z13,Резултати!V17:Z17,Резултати!V30:Z30)</f>
        <v>0</v>
      </c>
      <c r="Z16" s="32" t="e">
        <f>X16/Y16</f>
        <v>#DIV/0!</v>
      </c>
      <c r="AA16" s="33">
        <f>SUM(Резултати!AA14,Резултати!AA18,Резултати!AA29)</f>
        <v>0</v>
      </c>
      <c r="AB16" s="12"/>
      <c r="AD16" s="12"/>
      <c r="AE16" s="12"/>
      <c r="AF16" s="12"/>
      <c r="AG16" s="12"/>
      <c r="AH16" s="12"/>
      <c r="AI16" s="23"/>
      <c r="AJ16" s="12"/>
      <c r="AK16" s="170"/>
      <c r="AL16" s="172" t="str">
        <f>IF(AH9=3,AF9,IF(AH11=3,AF11,"-"))</f>
        <v>-</v>
      </c>
      <c r="AM16" s="172"/>
      <c r="AN16" s="174">
        <f>Резултати!H49</f>
        <v>0</v>
      </c>
      <c r="AO16" s="12"/>
      <c r="AP16" s="12"/>
      <c r="AQ16" s="12"/>
      <c r="AR16" s="12"/>
      <c r="AS16" s="12"/>
      <c r="AT16" s="12"/>
      <c r="AU16" s="12"/>
    </row>
    <row r="17" spans="1:47" ht="15.75" thickBot="1" x14ac:dyDescent="0.3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D17" s="12"/>
      <c r="AE17" s="12"/>
      <c r="AF17" s="12"/>
      <c r="AG17" s="12"/>
      <c r="AH17" s="12"/>
      <c r="AI17" s="23"/>
      <c r="AJ17" s="36"/>
      <c r="AK17" s="171"/>
      <c r="AL17" s="173"/>
      <c r="AM17" s="173"/>
      <c r="AN17" s="175"/>
      <c r="AO17" s="12"/>
      <c r="AP17" s="12"/>
      <c r="AQ17" s="12"/>
      <c r="AR17" s="12"/>
      <c r="AS17" s="12"/>
      <c r="AT17" s="12"/>
      <c r="AU17" s="12"/>
    </row>
    <row r="18" spans="1:47" ht="16.5" thickTop="1" thickBot="1" x14ac:dyDescent="0.3"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D18" s="12"/>
      <c r="AE18" s="12"/>
      <c r="AF18" s="12"/>
      <c r="AG18" s="12"/>
      <c r="AH18" s="12"/>
      <c r="AI18" s="23"/>
      <c r="AJ18" s="12"/>
      <c r="AK18" s="171"/>
      <c r="AL18" s="173" t="str">
        <f>IF(AH23=3,AF23,IF(AH25=3,AF25,"-"))</f>
        <v>-</v>
      </c>
      <c r="AM18" s="173"/>
      <c r="AN18" s="175">
        <f>Резултати!H50</f>
        <v>0</v>
      </c>
      <c r="AO18" s="18"/>
      <c r="AP18" s="12"/>
      <c r="AQ18" s="12"/>
      <c r="AR18" s="12"/>
      <c r="AS18" s="12"/>
      <c r="AT18" s="12"/>
      <c r="AU18" s="12"/>
    </row>
    <row r="19" spans="1:47" ht="15.75" thickBot="1" x14ac:dyDescent="0.3">
      <c r="B19" s="12"/>
      <c r="C19" s="186" t="s">
        <v>15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4"/>
      <c r="O19" s="12"/>
      <c r="P19" s="186" t="s">
        <v>5</v>
      </c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4"/>
      <c r="AB19" s="12"/>
      <c r="AD19" s="12"/>
      <c r="AE19" s="12"/>
      <c r="AF19" s="12"/>
      <c r="AG19" s="12"/>
      <c r="AH19" s="12"/>
      <c r="AI19" s="23"/>
      <c r="AJ19" s="12"/>
      <c r="AK19" s="177"/>
      <c r="AL19" s="178"/>
      <c r="AM19" s="178"/>
      <c r="AN19" s="179"/>
      <c r="AO19" s="23"/>
      <c r="AP19" s="12"/>
      <c r="AQ19" s="12"/>
      <c r="AR19" s="12"/>
      <c r="AS19" s="12"/>
      <c r="AT19" s="12"/>
      <c r="AU19" s="12"/>
    </row>
    <row r="20" spans="1:47" ht="15.75" thickBot="1" x14ac:dyDescent="0.3">
      <c r="B20" s="12"/>
      <c r="C20" s="187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9"/>
      <c r="O20" s="12"/>
      <c r="P20" s="187"/>
      <c r="Q20" s="178"/>
      <c r="R20" s="178"/>
      <c r="S20" s="178"/>
      <c r="T20" s="178"/>
      <c r="U20" s="178"/>
      <c r="V20" s="178"/>
      <c r="W20" s="178"/>
      <c r="X20" s="178"/>
      <c r="Y20" s="178"/>
      <c r="Z20" s="178"/>
      <c r="AA20" s="179"/>
      <c r="AB20" s="12"/>
      <c r="AD20" s="12"/>
      <c r="AE20" s="12"/>
      <c r="AF20" s="12"/>
      <c r="AG20" s="12"/>
      <c r="AH20" s="12"/>
      <c r="AI20" s="23"/>
      <c r="AJ20" s="12"/>
      <c r="AK20" s="12"/>
      <c r="AL20" s="12"/>
      <c r="AM20" s="12"/>
      <c r="AN20" s="12"/>
      <c r="AO20" s="23"/>
      <c r="AP20" s="12"/>
      <c r="AQ20" s="12"/>
      <c r="AR20" s="12"/>
      <c r="AS20" s="12"/>
      <c r="AT20" s="12"/>
      <c r="AU20" s="12"/>
    </row>
    <row r="21" spans="1:47" ht="15.75" thickBot="1" x14ac:dyDescent="0.3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D21" s="12"/>
      <c r="AE21" s="12"/>
      <c r="AF21" s="12"/>
      <c r="AG21" s="12"/>
      <c r="AH21" s="12"/>
      <c r="AI21" s="23"/>
      <c r="AJ21" s="12"/>
      <c r="AK21" s="12"/>
      <c r="AL21" s="12"/>
      <c r="AM21" s="12"/>
      <c r="AN21" s="12"/>
      <c r="AO21" s="23"/>
      <c r="AP21" s="12"/>
      <c r="AQ21" s="12"/>
      <c r="AR21" s="12"/>
      <c r="AS21" s="12"/>
      <c r="AT21" s="12"/>
      <c r="AU21" s="12"/>
    </row>
    <row r="22" spans="1:47" ht="15.75" thickBot="1" x14ac:dyDescent="0.3">
      <c r="B22" s="12"/>
      <c r="C22" s="19" t="s">
        <v>6</v>
      </c>
      <c r="D22" s="20" t="s">
        <v>7</v>
      </c>
      <c r="E22" s="20" t="s">
        <v>8</v>
      </c>
      <c r="F22" s="20" t="s">
        <v>9</v>
      </c>
      <c r="G22" s="20" t="s">
        <v>10</v>
      </c>
      <c r="H22" s="20" t="s">
        <v>30</v>
      </c>
      <c r="I22" s="20" t="s">
        <v>31</v>
      </c>
      <c r="J22" s="20" t="s">
        <v>12</v>
      </c>
      <c r="K22" s="20" t="s">
        <v>32</v>
      </c>
      <c r="L22" s="20" t="s">
        <v>33</v>
      </c>
      <c r="M22" s="20" t="s">
        <v>13</v>
      </c>
      <c r="N22" s="21" t="s">
        <v>14</v>
      </c>
      <c r="O22" s="12"/>
      <c r="P22" s="19" t="s">
        <v>6</v>
      </c>
      <c r="Q22" s="20" t="s">
        <v>7</v>
      </c>
      <c r="R22" s="20" t="s">
        <v>8</v>
      </c>
      <c r="S22" s="20" t="s">
        <v>9</v>
      </c>
      <c r="T22" s="20" t="s">
        <v>10</v>
      </c>
      <c r="U22" s="20" t="s">
        <v>30</v>
      </c>
      <c r="V22" s="20" t="s">
        <v>31</v>
      </c>
      <c r="W22" s="20" t="s">
        <v>12</v>
      </c>
      <c r="X22" s="20" t="s">
        <v>32</v>
      </c>
      <c r="Y22" s="20" t="s">
        <v>33</v>
      </c>
      <c r="Z22" s="20" t="s">
        <v>13</v>
      </c>
      <c r="AA22" s="21" t="s">
        <v>14</v>
      </c>
      <c r="AB22" s="12"/>
      <c r="AD22" s="12"/>
      <c r="AE22" s="12"/>
      <c r="AF22" s="12"/>
      <c r="AG22" s="12"/>
      <c r="AH22" s="12"/>
      <c r="AI22" s="23"/>
      <c r="AJ22" s="12"/>
      <c r="AK22" s="12"/>
      <c r="AL22" s="12"/>
      <c r="AM22" s="12"/>
      <c r="AN22" s="12"/>
      <c r="AO22" s="23"/>
      <c r="AP22" s="12"/>
      <c r="AQ22" s="12"/>
      <c r="AR22" s="12"/>
      <c r="AS22" s="12"/>
      <c r="AT22" s="12"/>
      <c r="AU22" s="12"/>
    </row>
    <row r="23" spans="1:47" x14ac:dyDescent="0.25">
      <c r="B23" s="12"/>
      <c r="C23" s="28">
        <v>1</v>
      </c>
      <c r="D23" s="25" t="str">
        <f>Програма!Z26</f>
        <v>Полша</v>
      </c>
      <c r="E23" s="26">
        <f>COUNTIFS(Резултати!$AF$8:$AG$30,D23)</f>
        <v>3</v>
      </c>
      <c r="F23" s="26">
        <f>IF(Резултати!AH9=3,1,0)+IF(Резултати!AH21=3,1,0)+IF(Резултати!AH30=3,1,0)</f>
        <v>0</v>
      </c>
      <c r="G23" s="26">
        <f>E23-F23</f>
        <v>3</v>
      </c>
      <c r="H23" s="26">
        <f>SUM(Резултати!AH9,Резултати!AH21,Резултати!AH30)</f>
        <v>0</v>
      </c>
      <c r="I23" s="26">
        <f>SUM(Резултати!AH10,Резултати!AH22,Резултати!AH29)</f>
        <v>0</v>
      </c>
      <c r="J23" s="26" t="e">
        <f>H23/I23</f>
        <v>#DIV/0!</v>
      </c>
      <c r="K23" s="26">
        <f>SUM(Резултати!AI9:AM9,Резултати!AI21:AM21,Резултати!AI30:AM30)</f>
        <v>0</v>
      </c>
      <c r="L23" s="26">
        <f>SUM(Резултати!AI10:AM10,Резултати!AI22:AM22,Резултати!AI29:AM29)</f>
        <v>0</v>
      </c>
      <c r="M23" s="26" t="e">
        <f>K23/L23</f>
        <v>#DIV/0!</v>
      </c>
      <c r="N23" s="27">
        <f>SUM(Резултати!AN9,Резултати!AN21,Резултати!AN30)</f>
        <v>0</v>
      </c>
      <c r="O23" s="12"/>
      <c r="P23" s="28">
        <v>1</v>
      </c>
      <c r="Q23" s="29" t="str">
        <f>Програма!AD26</f>
        <v>Франция</v>
      </c>
      <c r="R23" s="26">
        <f>COUNTIFS(Резултати!$AS$8:$AT$30,Q23)</f>
        <v>3</v>
      </c>
      <c r="S23" s="26">
        <f>IF(Резултати!AU9=3,1,0)+IF(Резултати!AU21=3,1,0)+IF(Резултати!AU30=3,1,0)</f>
        <v>0</v>
      </c>
      <c r="T23" s="26">
        <f>R23-S23</f>
        <v>3</v>
      </c>
      <c r="U23" s="26">
        <f>SUM(Резултати!AU9,Резултати!AU21,Резултати!AU30)</f>
        <v>0</v>
      </c>
      <c r="V23" s="26">
        <f>SUM(Резултати!AU10,Резултати!AU22,Резултати!AU29)</f>
        <v>0</v>
      </c>
      <c r="W23" s="26" t="e">
        <f>U23/V23</f>
        <v>#DIV/0!</v>
      </c>
      <c r="X23" s="26">
        <f>SUM(Резултати!AV9:AZ9,Резултати!AV21:AZ21,Резултати!AV30:AZ30)</f>
        <v>0</v>
      </c>
      <c r="Y23" s="26">
        <f>SUM(Резултати!AV10:AZ10,Резултати!AV22:AZ22,Резултати!AV29:AZ29)</f>
        <v>0</v>
      </c>
      <c r="Z23" s="26" t="e">
        <f>X23/Y23</f>
        <v>#DIV/0!</v>
      </c>
      <c r="AA23" s="27">
        <f>SUM(Резултати!BA9,Резултати!BA21,Резултати!BA30)</f>
        <v>0</v>
      </c>
      <c r="AB23" s="12"/>
      <c r="AD23" s="12"/>
      <c r="AE23" s="170"/>
      <c r="AF23" s="172" t="str">
        <f>Програма!H56</f>
        <v>Полша</v>
      </c>
      <c r="AG23" s="172"/>
      <c r="AH23" s="174">
        <f>Резултати!AH39</f>
        <v>0</v>
      </c>
      <c r="AI23" s="23"/>
      <c r="AJ23" s="12"/>
      <c r="AK23" s="12"/>
      <c r="AL23" s="12"/>
      <c r="AM23" s="12"/>
      <c r="AN23" s="12"/>
      <c r="AO23" s="23"/>
      <c r="AP23" s="12"/>
      <c r="AQ23" s="12"/>
      <c r="AR23" s="12"/>
      <c r="AS23" s="12"/>
      <c r="AT23" s="12"/>
      <c r="AU23" s="12"/>
    </row>
    <row r="24" spans="1:47" ht="15.75" thickBot="1" x14ac:dyDescent="0.3">
      <c r="B24" s="12"/>
      <c r="C24" s="28">
        <v>2</v>
      </c>
      <c r="D24" s="25" t="str">
        <f>Програма!Z28</f>
        <v>Мексико</v>
      </c>
      <c r="E24" s="26">
        <f>COUNTIFS(Резултати!$AF$8:$AG$30,D24)</f>
        <v>3</v>
      </c>
      <c r="F24" s="26">
        <f>IF(Резултати!AH13=3,1,0)+IF(Резултати!AH22=3,1,0)+IF(Резултати!AH26=3,1,0)</f>
        <v>0</v>
      </c>
      <c r="G24" s="26">
        <f>E24-F24</f>
        <v>3</v>
      </c>
      <c r="H24" s="26">
        <f>SUM(Резултати!AH13,Резултати!AH22,Резултати!AH26)</f>
        <v>0</v>
      </c>
      <c r="I24" s="26">
        <f>SUM(Резултати!AH14,Резултати!AH21,Резултати!AH25)</f>
        <v>0</v>
      </c>
      <c r="J24" s="26" t="e">
        <f>H24/I24</f>
        <v>#DIV/0!</v>
      </c>
      <c r="K24" s="26">
        <f>SUM(Резултати!AI13:AM13,Резултати!AI22:AM22,Резултати!AI26:AM26)</f>
        <v>0</v>
      </c>
      <c r="L24" s="26">
        <f>SUM(Резултати!AI14:AM14,Резултати!AI21:AM21,Резултати!AI25:AM25)</f>
        <v>0</v>
      </c>
      <c r="M24" s="26" t="e">
        <f>K24/L24</f>
        <v>#DIV/0!</v>
      </c>
      <c r="N24" s="27">
        <f>SUM(Резултати!AN13,Резултати!AN22,Резултати!AN26)</f>
        <v>0</v>
      </c>
      <c r="O24" s="12"/>
      <c r="P24" s="28">
        <v>2</v>
      </c>
      <c r="Q24" s="29" t="str">
        <f>Програма!AD27</f>
        <v>Словения</v>
      </c>
      <c r="R24" s="26">
        <f>COUNTIFS(Резултати!$AS$8:$AT$30,Q24)</f>
        <v>3</v>
      </c>
      <c r="S24" s="26">
        <f>IF(Резултати!AU10=3,1,0)+IF(Резултати!AU17=3,1,0)+IF(Резултати!AU25=3,1,0)</f>
        <v>0</v>
      </c>
      <c r="T24" s="26">
        <f t="shared" ref="T24:T26" si="0">R24-S24</f>
        <v>3</v>
      </c>
      <c r="U24" s="26">
        <f>SUM(Резултати!AU10,Резултати!AU17,Резултати!AU25)</f>
        <v>0</v>
      </c>
      <c r="V24" s="26">
        <f>SUM(Резултати!AU9,Резултати!AU18,Резултати!AU26)</f>
        <v>0</v>
      </c>
      <c r="W24" s="26" t="e">
        <f t="shared" ref="W24:W26" si="1">U24/V24</f>
        <v>#DIV/0!</v>
      </c>
      <c r="X24" s="26">
        <f>SUM(Резултати!AV10:AZ10,Резултати!AV17:AZ17,Резултати!AV25:AZ25)</f>
        <v>0</v>
      </c>
      <c r="Y24" s="26">
        <f>SUM(Резултати!AV9:AZ9,Резултати!AV18:AZ18,Резултати!AV26:AZ26)</f>
        <v>0</v>
      </c>
      <c r="Z24" s="26" t="e">
        <f t="shared" ref="Z24:Z26" si="2">X24/Y24</f>
        <v>#DIV/0!</v>
      </c>
      <c r="AA24" s="27">
        <f>SUM(Резултати!BA10,Резултати!BA17,Резултати!BA25)</f>
        <v>0</v>
      </c>
      <c r="AB24" s="12"/>
      <c r="AD24" s="12"/>
      <c r="AE24" s="171"/>
      <c r="AF24" s="173"/>
      <c r="AG24" s="173"/>
      <c r="AH24" s="175"/>
      <c r="AI24" s="37"/>
      <c r="AJ24" s="12"/>
      <c r="AK24" s="12"/>
      <c r="AL24" s="12"/>
      <c r="AM24" s="12"/>
      <c r="AN24" s="12"/>
      <c r="AO24" s="23"/>
      <c r="AP24" s="12"/>
      <c r="AQ24" s="12"/>
      <c r="AR24" s="12"/>
      <c r="AS24" s="12"/>
      <c r="AT24" s="12"/>
      <c r="AU24" s="12"/>
    </row>
    <row r="25" spans="1:47" ht="16.5" thickTop="1" thickBot="1" x14ac:dyDescent="0.3">
      <c r="B25" s="12"/>
      <c r="C25" s="28">
        <v>3</v>
      </c>
      <c r="D25" s="25" t="str">
        <f>Програма!Z27</f>
        <v xml:space="preserve">САЩ </v>
      </c>
      <c r="E25" s="26">
        <f>COUNTIFS(Резултати!$AF$8:$AG$30,D25)</f>
        <v>3</v>
      </c>
      <c r="F25" s="26">
        <f>IF(Резултати!AH10=3,1,0)+IF(Резултати!AH17=3,1,0)+IF(Резултати!AH25=3,1,0)</f>
        <v>0</v>
      </c>
      <c r="G25" s="26">
        <f>E25-F25</f>
        <v>3</v>
      </c>
      <c r="H25" s="26">
        <f>SUM(Резултати!AH10,Резултати!AH17,Резултати!AH25)</f>
        <v>0</v>
      </c>
      <c r="I25" s="26">
        <f>SUM(Резултати!AH9,Резултати!AH18,Резултати!AH26)</f>
        <v>0</v>
      </c>
      <c r="J25" s="26" t="e">
        <f>H25/I25</f>
        <v>#DIV/0!</v>
      </c>
      <c r="K25" s="26">
        <f>SUM(Резултати!AI10:AM10,Резултати!AI17:AM17,Резултати!AI25:AM25)</f>
        <v>0</v>
      </c>
      <c r="L25" s="26">
        <f>SUM(Резултати!AI9:AM9,Резултати!AI18:AM18,Резултати!AI26:AM26)</f>
        <v>0</v>
      </c>
      <c r="M25" s="26" t="e">
        <f>K25/L25</f>
        <v>#DIV/0!</v>
      </c>
      <c r="N25" s="27">
        <f>SUM(Резултати!AN10,Резултати!AN17,Резултати!AN25)</f>
        <v>0</v>
      </c>
      <c r="O25" s="12"/>
      <c r="P25" s="28">
        <v>3</v>
      </c>
      <c r="Q25" s="29" t="str">
        <f>Програма!AD28</f>
        <v>Германия</v>
      </c>
      <c r="R25" s="26">
        <f>COUNTIFS(Резултати!$AS$8:$AT$30,Q25)</f>
        <v>3</v>
      </c>
      <c r="S25" s="26">
        <f>IF(Резултати!AU13=3,1,0)+IF(Резултати!AU22=3,1,0)+IF(Резултати!AU26=3,1,0)</f>
        <v>0</v>
      </c>
      <c r="T25" s="26">
        <f t="shared" si="0"/>
        <v>3</v>
      </c>
      <c r="U25" s="26">
        <f>SUM(Резултати!AU13,Резултати!AU22,Резултати!AU26)</f>
        <v>0</v>
      </c>
      <c r="V25" s="26">
        <f>SUM(Резултати!AU14,Резултати!AU21,Резултати!AU25)</f>
        <v>0</v>
      </c>
      <c r="W25" s="26" t="e">
        <f t="shared" si="1"/>
        <v>#DIV/0!</v>
      </c>
      <c r="X25" s="26">
        <f>SUM(Резултати!AV13:AZ13,Резултати!AV22:AZ22,Резултати!AV26:AZ26)</f>
        <v>0</v>
      </c>
      <c r="Y25" s="26">
        <f>SUM(Резултати!AV14:AZ14,Резултати!AV21:AZ21,Резултати!AV25:AZ25)</f>
        <v>0</v>
      </c>
      <c r="Z25" s="26" t="e">
        <f t="shared" si="2"/>
        <v>#DIV/0!</v>
      </c>
      <c r="AA25" s="27">
        <f>SUM(Резултати!BA13,Резултати!BA22,Резултати!BA26)</f>
        <v>0</v>
      </c>
      <c r="AB25" s="12"/>
      <c r="AD25" s="12"/>
      <c r="AE25" s="171"/>
      <c r="AF25" s="173" t="str">
        <f>Програма!J56</f>
        <v>Словения</v>
      </c>
      <c r="AG25" s="173"/>
      <c r="AH25" s="175">
        <f>Резултати!AH40</f>
        <v>0</v>
      </c>
      <c r="AI25" s="38"/>
      <c r="AJ25" s="12"/>
      <c r="AK25" s="12"/>
      <c r="AL25" s="12"/>
      <c r="AM25" s="12"/>
      <c r="AN25" s="12"/>
      <c r="AO25" s="23"/>
      <c r="AP25" s="12"/>
      <c r="AQ25" s="12"/>
      <c r="AR25" s="12"/>
      <c r="AS25" s="12"/>
      <c r="AT25" s="12"/>
      <c r="AU25" s="12"/>
    </row>
    <row r="26" spans="1:47" ht="15.75" thickBot="1" x14ac:dyDescent="0.3">
      <c r="B26" s="12"/>
      <c r="C26" s="34">
        <v>4</v>
      </c>
      <c r="D26" s="31" t="str">
        <f>Програма!Z29</f>
        <v>България</v>
      </c>
      <c r="E26" s="32">
        <f>COUNTIFS(Резултати!$AF$8:$AG$30,D26)</f>
        <v>3</v>
      </c>
      <c r="F26" s="32">
        <f>IF(Резултати!AH14=3,1,0)+IF(Резултати!AH18=3,1,0)+IF(Резултати!AH29=3,1,0)</f>
        <v>0</v>
      </c>
      <c r="G26" s="32">
        <f>E26-F26</f>
        <v>3</v>
      </c>
      <c r="H26" s="32">
        <f>SUM(Резултати!AH14,Резултати!AH18,Резултати!AH29)</f>
        <v>0</v>
      </c>
      <c r="I26" s="32">
        <f>SUM(Резултати!AH13,Резултати!AH17,Резултати!AH30)</f>
        <v>0</v>
      </c>
      <c r="J26" s="32" t="e">
        <f>H26/I26</f>
        <v>#DIV/0!</v>
      </c>
      <c r="K26" s="32">
        <f>SUM(Резултати!AI14:AM14,Резултати!AI18:AM18,Резултати!AI29:AM29)</f>
        <v>0</v>
      </c>
      <c r="L26" s="32">
        <f>SUM(Резултати!AI13:AM13,Резултати!AI17:AM17,Резултати!AI30:AM30)</f>
        <v>0</v>
      </c>
      <c r="M26" s="32" t="e">
        <f>K26/L26</f>
        <v>#DIV/0!</v>
      </c>
      <c r="N26" s="33">
        <f>SUM(Резултати!AN14,Резултати!AN18,Резултати!AN29)</f>
        <v>0</v>
      </c>
      <c r="O26" s="12"/>
      <c r="P26" s="34">
        <v>4</v>
      </c>
      <c r="Q26" s="35" t="str">
        <f>Програма!AD29</f>
        <v>Камерун</v>
      </c>
      <c r="R26" s="32">
        <f>COUNTIFS(Резултати!$AS$8:$AT$30,Q26)</f>
        <v>3</v>
      </c>
      <c r="S26" s="32">
        <f>IF(Резултати!AU14=3,1,0)+IF(Резултати!AU18=3,1,0)+IF(Резултати!AU29=3,1,0)</f>
        <v>0</v>
      </c>
      <c r="T26" s="32">
        <f t="shared" si="0"/>
        <v>3</v>
      </c>
      <c r="U26" s="32">
        <f>SUM(Резултати!AU14,Резултати!AU18,Резултати!AU29)</f>
        <v>0</v>
      </c>
      <c r="V26" s="32">
        <f>SUM(Резултати!AU13,Резултати!AU17,Резултати!AU30)</f>
        <v>0</v>
      </c>
      <c r="W26" s="32" t="e">
        <f t="shared" si="1"/>
        <v>#DIV/0!</v>
      </c>
      <c r="X26" s="32">
        <f>SUM(Резултати!AV14:AZ14,Резултати!AV18:AZ18,Резултати!AV29:AZ29)</f>
        <v>0</v>
      </c>
      <c r="Y26" s="32">
        <f>SUM(Резултати!AV13:AZ13,Резултати!AV17:AZ17,Резултати!AV30:AZ30)</f>
        <v>0</v>
      </c>
      <c r="Z26" s="32" t="e">
        <f t="shared" si="2"/>
        <v>#DIV/0!</v>
      </c>
      <c r="AA26" s="33">
        <f>SUM(Резултати!BA14,Резултати!BA18,Резултати!BA29)</f>
        <v>0</v>
      </c>
      <c r="AB26" s="12"/>
      <c r="AD26" s="12"/>
      <c r="AE26" s="177"/>
      <c r="AF26" s="178"/>
      <c r="AG26" s="178"/>
      <c r="AH26" s="179"/>
      <c r="AI26" s="12"/>
      <c r="AJ26" s="12"/>
      <c r="AK26" s="12"/>
      <c r="AL26" s="12"/>
      <c r="AM26" s="12"/>
      <c r="AN26" s="12"/>
      <c r="AO26" s="23"/>
      <c r="AP26" s="12"/>
      <c r="AQ26" s="170"/>
      <c r="AR26" s="172" t="str">
        <f>IF(AN16=3,AL16,IF(AN18=3,AL18,"-"))</f>
        <v>-</v>
      </c>
      <c r="AS26" s="172"/>
      <c r="AT26" s="174">
        <f>Резултати!U59</f>
        <v>0</v>
      </c>
      <c r="AU26" s="12"/>
    </row>
    <row r="27" spans="1:47" ht="15.75" thickBot="1" x14ac:dyDescent="0.3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23"/>
      <c r="AP27" s="36"/>
      <c r="AQ27" s="171"/>
      <c r="AR27" s="173"/>
      <c r="AS27" s="173"/>
      <c r="AT27" s="175"/>
      <c r="AU27" s="12"/>
    </row>
    <row r="28" spans="1:47" s="13" customFormat="1" ht="15.75" customHeight="1" thickTop="1" x14ac:dyDescent="0.25">
      <c r="A28" s="4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23"/>
      <c r="AP28" s="12"/>
      <c r="AQ28" s="171"/>
      <c r="AR28" s="173" t="str">
        <f>IF(AN44=3,AL44,IF(AN46=3,AL46,"-"))</f>
        <v>-</v>
      </c>
      <c r="AS28" s="173"/>
      <c r="AT28" s="175">
        <f>Резултати!U60</f>
        <v>0</v>
      </c>
      <c r="AU28" s="12"/>
    </row>
    <row r="29" spans="1:47" ht="15.75" thickBot="1" x14ac:dyDescent="0.3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23"/>
      <c r="AP29" s="12"/>
      <c r="AQ29" s="177"/>
      <c r="AR29" s="178"/>
      <c r="AS29" s="178"/>
      <c r="AT29" s="179"/>
      <c r="AU29" s="12"/>
    </row>
    <row r="30" spans="1:47" ht="15.75" thickBot="1" x14ac:dyDescent="0.3">
      <c r="B30" s="12"/>
      <c r="C30" s="12"/>
      <c r="D30" s="12"/>
      <c r="E30" s="12"/>
      <c r="F30" s="12"/>
      <c r="G30" s="12"/>
      <c r="H30" s="12"/>
      <c r="I30" s="217" t="s">
        <v>66</v>
      </c>
      <c r="J30" s="218"/>
      <c r="K30" s="218"/>
      <c r="L30" s="218"/>
      <c r="M30" s="218"/>
      <c r="N30" s="218"/>
      <c r="O30" s="218"/>
      <c r="P30" s="218"/>
      <c r="Q30" s="218"/>
      <c r="R30" s="218"/>
      <c r="S30" s="218"/>
      <c r="T30" s="219"/>
      <c r="U30" s="12"/>
      <c r="V30" s="12"/>
      <c r="W30" s="12"/>
      <c r="X30" s="12"/>
      <c r="Y30" s="12"/>
      <c r="Z30" s="12"/>
      <c r="AA30" s="12"/>
      <c r="AB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23"/>
      <c r="AP30" s="12"/>
      <c r="AQ30" s="12"/>
      <c r="AR30" s="12"/>
      <c r="AS30" s="12"/>
      <c r="AT30" s="12"/>
      <c r="AU30" s="12"/>
    </row>
    <row r="31" spans="1:47" x14ac:dyDescent="0.25">
      <c r="B31" s="12"/>
      <c r="C31" s="12"/>
      <c r="D31" s="12"/>
      <c r="E31" s="12"/>
      <c r="F31" s="12"/>
      <c r="G31" s="12"/>
      <c r="H31" s="12"/>
      <c r="I31" s="220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2"/>
      <c r="U31" s="12"/>
      <c r="V31" s="12"/>
      <c r="W31" s="12"/>
      <c r="X31" s="12"/>
      <c r="Y31" s="12"/>
      <c r="Z31" s="12"/>
      <c r="AA31" s="12"/>
      <c r="AB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23"/>
      <c r="AP31" s="39"/>
      <c r="AQ31" s="180" t="s">
        <v>40</v>
      </c>
      <c r="AR31" s="181"/>
      <c r="AS31" s="181"/>
      <c r="AT31" s="182"/>
      <c r="AU31" s="12"/>
    </row>
    <row r="32" spans="1:47" ht="15.75" thickBot="1" x14ac:dyDescent="0.3">
      <c r="B32" s="12"/>
      <c r="C32" s="12"/>
      <c r="D32" s="12"/>
      <c r="E32" s="12"/>
      <c r="F32" s="12"/>
      <c r="G32" s="12"/>
      <c r="H32" s="12"/>
      <c r="I32" s="220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2"/>
      <c r="U32" s="12"/>
      <c r="V32" s="12"/>
      <c r="W32" s="12"/>
      <c r="X32" s="12"/>
      <c r="Y32" s="12"/>
      <c r="Z32" s="12"/>
      <c r="AA32" s="12"/>
      <c r="AB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23"/>
      <c r="AP32" s="39"/>
      <c r="AQ32" s="183"/>
      <c r="AR32" s="184"/>
      <c r="AS32" s="184"/>
      <c r="AT32" s="185"/>
      <c r="AU32" s="12"/>
    </row>
    <row r="33" spans="2:47" ht="15.75" thickBot="1" x14ac:dyDescent="0.3">
      <c r="B33" s="12"/>
      <c r="C33" s="12"/>
      <c r="D33" s="12"/>
      <c r="E33" s="12"/>
      <c r="F33" s="12"/>
      <c r="G33" s="12"/>
      <c r="H33" s="12"/>
      <c r="I33" s="223"/>
      <c r="J33" s="224"/>
      <c r="K33" s="224"/>
      <c r="L33" s="224"/>
      <c r="M33" s="224"/>
      <c r="N33" s="224"/>
      <c r="O33" s="224"/>
      <c r="P33" s="224"/>
      <c r="Q33" s="224"/>
      <c r="R33" s="224"/>
      <c r="S33" s="224"/>
      <c r="T33" s="225"/>
      <c r="U33" s="12"/>
      <c r="V33" s="12"/>
      <c r="W33" s="12"/>
      <c r="X33" s="12"/>
      <c r="Y33" s="12"/>
      <c r="Z33" s="12"/>
      <c r="AA33" s="12"/>
      <c r="AB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23"/>
      <c r="AP33" s="12"/>
      <c r="AQ33" s="12"/>
      <c r="AR33" s="12"/>
      <c r="AS33" s="40"/>
      <c r="AT33" s="12"/>
      <c r="AU33" s="12"/>
    </row>
    <row r="34" spans="2:47" x14ac:dyDescent="0.25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23"/>
      <c r="AP34" s="12"/>
      <c r="AQ34" s="170"/>
      <c r="AR34" s="172" t="str">
        <f>IF(AND(AN16=0,AN18=0),"-",IF(AN16&lt;3,AL16,IF(AN18&lt;3,AL18,"-")))</f>
        <v>-</v>
      </c>
      <c r="AS34" s="172"/>
      <c r="AT34" s="174">
        <f>Резултати!H59</f>
        <v>0</v>
      </c>
      <c r="AU34" s="12"/>
    </row>
    <row r="35" spans="2:47" x14ac:dyDescent="0.25"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23"/>
      <c r="AP35" s="12"/>
      <c r="AQ35" s="171"/>
      <c r="AR35" s="173"/>
      <c r="AS35" s="173"/>
      <c r="AT35" s="175"/>
      <c r="AU35" s="12"/>
    </row>
    <row r="36" spans="2:47" ht="15.75" thickBot="1" x14ac:dyDescent="0.3"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23"/>
      <c r="AP36" s="12"/>
      <c r="AQ36" s="171"/>
      <c r="AR36" s="173" t="str">
        <f>IF(AND(AN44=0,AN46=0),"-",IF(AN44&lt;3,AL44,IF(AN46&lt;3,AL46,"-")))</f>
        <v>-</v>
      </c>
      <c r="AS36" s="173"/>
      <c r="AT36" s="175">
        <f>Резултати!H60</f>
        <v>0</v>
      </c>
      <c r="AU36" s="12"/>
    </row>
    <row r="37" spans="2:47" ht="15.75" thickBot="1" x14ac:dyDescent="0.3">
      <c r="B37" s="12"/>
      <c r="C37" s="12"/>
      <c r="D37" s="12"/>
      <c r="E37" s="12"/>
      <c r="F37" s="12"/>
      <c r="G37" s="12"/>
      <c r="H37" s="12"/>
      <c r="I37" s="12"/>
      <c r="J37" s="188"/>
      <c r="K37" s="188"/>
      <c r="L37" s="189" t="str">
        <f>IF(AT26=3,AR26,IF(AT28=3,AR28,"-"))</f>
        <v>-</v>
      </c>
      <c r="M37" s="190"/>
      <c r="N37" s="190"/>
      <c r="O37" s="190"/>
      <c r="P37" s="190"/>
      <c r="Q37" s="191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D37" s="12"/>
      <c r="AE37" s="170"/>
      <c r="AF37" s="172" t="str">
        <f>Програма!R49</f>
        <v>Тунис</v>
      </c>
      <c r="AG37" s="172"/>
      <c r="AH37" s="174">
        <f>Резултати!U39</f>
        <v>0</v>
      </c>
      <c r="AI37" s="12"/>
      <c r="AJ37" s="12"/>
      <c r="AK37" s="12"/>
      <c r="AL37" s="12"/>
      <c r="AM37" s="12"/>
      <c r="AN37" s="12"/>
      <c r="AO37" s="23"/>
      <c r="AP37" s="12"/>
      <c r="AQ37" s="177"/>
      <c r="AR37" s="178"/>
      <c r="AS37" s="178"/>
      <c r="AT37" s="179"/>
      <c r="AU37" s="12"/>
    </row>
    <row r="38" spans="2:47" ht="15.75" thickBot="1" x14ac:dyDescent="0.3">
      <c r="B38" s="12"/>
      <c r="C38" s="12"/>
      <c r="D38" s="12"/>
      <c r="E38" s="12"/>
      <c r="F38" s="12"/>
      <c r="G38" s="12"/>
      <c r="H38" s="12"/>
      <c r="I38" s="12"/>
      <c r="J38" s="188"/>
      <c r="K38" s="188"/>
      <c r="L38" s="192"/>
      <c r="M38" s="193"/>
      <c r="N38" s="193"/>
      <c r="O38" s="193"/>
      <c r="P38" s="193"/>
      <c r="Q38" s="194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D38" s="12"/>
      <c r="AE38" s="171"/>
      <c r="AF38" s="173"/>
      <c r="AG38" s="173"/>
      <c r="AH38" s="175"/>
      <c r="AI38" s="12"/>
      <c r="AJ38" s="12"/>
      <c r="AK38" s="12"/>
      <c r="AL38" s="12"/>
      <c r="AM38" s="12"/>
      <c r="AN38" s="12"/>
      <c r="AO38" s="23"/>
      <c r="AP38" s="12"/>
      <c r="AQ38" s="12"/>
      <c r="AR38" s="12"/>
      <c r="AS38" s="12"/>
      <c r="AT38" s="12"/>
      <c r="AU38" s="12"/>
    </row>
    <row r="39" spans="2:47" ht="16.5" thickTop="1" thickBot="1" x14ac:dyDescent="0.3">
      <c r="B39" s="12"/>
      <c r="C39" s="12"/>
      <c r="D39" s="12"/>
      <c r="E39" s="12"/>
      <c r="F39" s="12"/>
      <c r="G39" s="12"/>
      <c r="H39" s="12"/>
      <c r="I39" s="12"/>
      <c r="J39" s="188"/>
      <c r="K39" s="188"/>
      <c r="L39" s="192"/>
      <c r="M39" s="193"/>
      <c r="N39" s="193"/>
      <c r="O39" s="193"/>
      <c r="P39" s="193"/>
      <c r="Q39" s="194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D39" s="12"/>
      <c r="AE39" s="171"/>
      <c r="AF39" s="173" t="str">
        <f>Програма!T49</f>
        <v>Куба</v>
      </c>
      <c r="AG39" s="173"/>
      <c r="AH39" s="175">
        <f>Резултати!U40</f>
        <v>0</v>
      </c>
      <c r="AI39" s="18"/>
      <c r="AJ39" s="12"/>
      <c r="AK39" s="12"/>
      <c r="AL39" s="12"/>
      <c r="AM39" s="12"/>
      <c r="AN39" s="12"/>
      <c r="AO39" s="23"/>
      <c r="AP39" s="12"/>
      <c r="AQ39" s="12"/>
      <c r="AR39" s="12"/>
      <c r="AS39" s="12"/>
      <c r="AT39" s="12"/>
      <c r="AU39" s="12"/>
    </row>
    <row r="40" spans="2:47" ht="15.75" customHeight="1" thickTop="1" thickBot="1" x14ac:dyDescent="0.3">
      <c r="B40" s="12"/>
      <c r="C40" s="12"/>
      <c r="D40" s="12"/>
      <c r="E40" s="12"/>
      <c r="F40" s="12"/>
      <c r="G40" s="12"/>
      <c r="H40" s="12"/>
      <c r="I40" s="12"/>
      <c r="J40" s="12"/>
      <c r="K40" s="41"/>
      <c r="L40" s="195">
        <v>1</v>
      </c>
      <c r="M40" s="195"/>
      <c r="N40" s="195"/>
      <c r="O40" s="195"/>
      <c r="P40" s="195"/>
      <c r="Q40" s="195"/>
      <c r="R40" s="39"/>
      <c r="S40" s="12"/>
      <c r="T40" s="12"/>
      <c r="U40" s="12"/>
      <c r="V40" s="12"/>
      <c r="W40" s="12"/>
      <c r="X40" s="12"/>
      <c r="Y40" s="12"/>
      <c r="Z40" s="12"/>
      <c r="AA40" s="12"/>
      <c r="AB40" s="12"/>
      <c r="AD40" s="12"/>
      <c r="AE40" s="177"/>
      <c r="AF40" s="178"/>
      <c r="AG40" s="178"/>
      <c r="AH40" s="179"/>
      <c r="AI40" s="23"/>
      <c r="AJ40" s="12"/>
      <c r="AK40" s="12"/>
      <c r="AL40" s="12"/>
      <c r="AM40" s="12"/>
      <c r="AN40" s="12"/>
      <c r="AO40" s="23"/>
      <c r="AP40" s="12"/>
      <c r="AQ40" s="12"/>
      <c r="AR40" s="12"/>
      <c r="AS40" s="12"/>
      <c r="AT40" s="12"/>
      <c r="AU40" s="12"/>
    </row>
    <row r="41" spans="2:47" ht="15" customHeight="1" x14ac:dyDescent="0.25">
      <c r="B41" s="12"/>
      <c r="C41" s="12"/>
      <c r="D41" s="188"/>
      <c r="E41" s="188"/>
      <c r="F41" s="208" t="str">
        <f>IF(AT26&lt;3,AR26,IF(AT28&lt;3,AR28,"-"))</f>
        <v>-</v>
      </c>
      <c r="G41" s="209"/>
      <c r="H41" s="209"/>
      <c r="I41" s="209"/>
      <c r="J41" s="209"/>
      <c r="K41" s="210"/>
      <c r="L41" s="196"/>
      <c r="M41" s="196"/>
      <c r="N41" s="196"/>
      <c r="O41" s="196"/>
      <c r="P41" s="196"/>
      <c r="Q41" s="196"/>
      <c r="R41" s="39"/>
      <c r="S41" s="12"/>
      <c r="T41" s="12"/>
      <c r="U41" s="12"/>
      <c r="V41" s="12"/>
      <c r="W41" s="12"/>
      <c r="X41" s="12"/>
      <c r="Y41" s="12"/>
      <c r="Z41" s="12"/>
      <c r="AA41" s="12"/>
      <c r="AB41" s="12"/>
      <c r="AD41" s="12"/>
      <c r="AE41" s="12"/>
      <c r="AF41" s="12"/>
      <c r="AG41" s="12"/>
      <c r="AH41" s="12"/>
      <c r="AI41" s="23"/>
      <c r="AJ41" s="12"/>
      <c r="AK41" s="12"/>
      <c r="AL41" s="12"/>
      <c r="AM41" s="12"/>
      <c r="AN41" s="12"/>
      <c r="AO41" s="23"/>
      <c r="AP41" s="12"/>
      <c r="AQ41" s="12"/>
      <c r="AR41" s="12"/>
      <c r="AS41" s="12"/>
      <c r="AT41" s="12"/>
      <c r="AU41" s="12"/>
    </row>
    <row r="42" spans="2:47" ht="15" customHeight="1" x14ac:dyDescent="0.25">
      <c r="B42" s="12"/>
      <c r="C42" s="12"/>
      <c r="D42" s="188"/>
      <c r="E42" s="188"/>
      <c r="F42" s="211"/>
      <c r="G42" s="212"/>
      <c r="H42" s="212"/>
      <c r="I42" s="212"/>
      <c r="J42" s="212"/>
      <c r="K42" s="213"/>
      <c r="L42" s="196"/>
      <c r="M42" s="196"/>
      <c r="N42" s="196"/>
      <c r="O42" s="196"/>
      <c r="P42" s="196"/>
      <c r="Q42" s="196"/>
      <c r="R42" s="39"/>
      <c r="S42" s="12"/>
      <c r="T42" s="12"/>
      <c r="U42" s="12"/>
      <c r="V42" s="12"/>
      <c r="W42" s="12"/>
      <c r="X42" s="12"/>
      <c r="Y42" s="12"/>
      <c r="Z42" s="12"/>
      <c r="AA42" s="12"/>
      <c r="AB42" s="12"/>
      <c r="AD42" s="12"/>
      <c r="AE42" s="12"/>
      <c r="AF42" s="12"/>
      <c r="AG42" s="12"/>
      <c r="AH42" s="12"/>
      <c r="AI42" s="23"/>
      <c r="AJ42" s="12"/>
      <c r="AK42" s="12"/>
      <c r="AL42" s="12"/>
      <c r="AM42" s="12"/>
      <c r="AN42" s="12"/>
      <c r="AO42" s="23"/>
      <c r="AP42" s="12"/>
      <c r="AQ42" s="12"/>
      <c r="AR42" s="12"/>
      <c r="AS42" s="12"/>
      <c r="AT42" s="12"/>
      <c r="AU42" s="12"/>
    </row>
    <row r="43" spans="2:47" ht="15.75" customHeight="1" thickBot="1" x14ac:dyDescent="0.3">
      <c r="B43" s="12"/>
      <c r="C43" s="12"/>
      <c r="D43" s="188"/>
      <c r="E43" s="188"/>
      <c r="F43" s="214"/>
      <c r="G43" s="215"/>
      <c r="H43" s="215"/>
      <c r="I43" s="215"/>
      <c r="J43" s="215"/>
      <c r="K43" s="216"/>
      <c r="L43" s="196"/>
      <c r="M43" s="196"/>
      <c r="N43" s="196"/>
      <c r="O43" s="196"/>
      <c r="P43" s="196"/>
      <c r="Q43" s="196"/>
      <c r="R43" s="39"/>
      <c r="S43" s="12"/>
      <c r="T43" s="12"/>
      <c r="U43" s="12"/>
      <c r="V43" s="12"/>
      <c r="W43" s="12"/>
      <c r="X43" s="12"/>
      <c r="Y43" s="12"/>
      <c r="Z43" s="12"/>
      <c r="AA43" s="12"/>
      <c r="AB43" s="12"/>
      <c r="AD43" s="12"/>
      <c r="AE43" s="12"/>
      <c r="AF43" s="12"/>
      <c r="AG43" s="12"/>
      <c r="AH43" s="12"/>
      <c r="AI43" s="23"/>
      <c r="AJ43" s="12"/>
      <c r="AK43" s="12"/>
      <c r="AL43" s="12"/>
      <c r="AM43" s="12"/>
      <c r="AN43" s="12"/>
      <c r="AO43" s="23"/>
      <c r="AP43" s="12"/>
      <c r="AQ43" s="12"/>
      <c r="AR43" s="12"/>
      <c r="AS43" s="12"/>
      <c r="AT43" s="12"/>
      <c r="AU43" s="12"/>
    </row>
    <row r="44" spans="2:47" ht="15" customHeight="1" thickTop="1" x14ac:dyDescent="0.25">
      <c r="B44" s="12"/>
      <c r="C44" s="12"/>
      <c r="D44" s="12"/>
      <c r="E44" s="12"/>
      <c r="F44" s="202">
        <v>2</v>
      </c>
      <c r="G44" s="203"/>
      <c r="H44" s="203"/>
      <c r="I44" s="203"/>
      <c r="J44" s="203"/>
      <c r="K44" s="203"/>
      <c r="L44" s="197"/>
      <c r="M44" s="196"/>
      <c r="N44" s="196"/>
      <c r="O44" s="196"/>
      <c r="P44" s="196"/>
      <c r="Q44" s="196"/>
      <c r="R44" s="235" t="str">
        <f>IF(AT34=3,AR34,IF(AT36=3,AR36,"-"))</f>
        <v>-</v>
      </c>
      <c r="S44" s="236"/>
      <c r="T44" s="236"/>
      <c r="U44" s="236"/>
      <c r="V44" s="236"/>
      <c r="W44" s="237"/>
      <c r="X44" s="188"/>
      <c r="Y44" s="188"/>
      <c r="Z44" s="12"/>
      <c r="AA44" s="12"/>
      <c r="AB44" s="12"/>
      <c r="AD44" s="12"/>
      <c r="AE44" s="12"/>
      <c r="AF44" s="12"/>
      <c r="AG44" s="12"/>
      <c r="AH44" s="12"/>
      <c r="AI44" s="23"/>
      <c r="AJ44" s="12"/>
      <c r="AK44" s="170"/>
      <c r="AL44" s="172" t="str">
        <f>IF(AH37=3,AF37,IF(AH39=3,AF39,"-"))</f>
        <v>-</v>
      </c>
      <c r="AM44" s="172"/>
      <c r="AN44" s="174">
        <f>Резултати!U49</f>
        <v>0</v>
      </c>
      <c r="AO44" s="23"/>
      <c r="AP44" s="12"/>
      <c r="AQ44" s="12"/>
      <c r="AR44" s="12"/>
      <c r="AS44" s="12"/>
      <c r="AT44" s="12"/>
      <c r="AU44" s="12"/>
    </row>
    <row r="45" spans="2:47" ht="15.75" customHeight="1" thickBot="1" x14ac:dyDescent="0.3">
      <c r="B45" s="12"/>
      <c r="C45" s="12"/>
      <c r="D45" s="12"/>
      <c r="E45" s="12"/>
      <c r="F45" s="204"/>
      <c r="G45" s="205"/>
      <c r="H45" s="205"/>
      <c r="I45" s="205"/>
      <c r="J45" s="205"/>
      <c r="K45" s="205"/>
      <c r="L45" s="197"/>
      <c r="M45" s="196"/>
      <c r="N45" s="196"/>
      <c r="O45" s="196"/>
      <c r="P45" s="196"/>
      <c r="Q45" s="196"/>
      <c r="R45" s="238"/>
      <c r="S45" s="239"/>
      <c r="T45" s="239"/>
      <c r="U45" s="239"/>
      <c r="V45" s="239"/>
      <c r="W45" s="240"/>
      <c r="X45" s="188"/>
      <c r="Y45" s="188"/>
      <c r="Z45" s="12"/>
      <c r="AA45" s="12"/>
      <c r="AB45" s="12"/>
      <c r="AD45" s="12"/>
      <c r="AE45" s="12"/>
      <c r="AF45" s="12"/>
      <c r="AG45" s="12"/>
      <c r="AH45" s="12"/>
      <c r="AI45" s="23"/>
      <c r="AJ45" s="36"/>
      <c r="AK45" s="171"/>
      <c r="AL45" s="173"/>
      <c r="AM45" s="173"/>
      <c r="AN45" s="175"/>
      <c r="AO45" s="37"/>
      <c r="AP45" s="12"/>
      <c r="AQ45" s="12"/>
      <c r="AR45" s="12"/>
      <c r="AS45" s="12"/>
      <c r="AT45" s="12"/>
      <c r="AU45" s="12"/>
    </row>
    <row r="46" spans="2:47" ht="15.75" customHeight="1" thickTop="1" thickBot="1" x14ac:dyDescent="0.3">
      <c r="B46" s="12"/>
      <c r="C46" s="12"/>
      <c r="D46" s="12"/>
      <c r="E46" s="12"/>
      <c r="F46" s="204"/>
      <c r="G46" s="205"/>
      <c r="H46" s="205"/>
      <c r="I46" s="205"/>
      <c r="J46" s="205"/>
      <c r="K46" s="205"/>
      <c r="L46" s="197"/>
      <c r="M46" s="196"/>
      <c r="N46" s="196"/>
      <c r="O46" s="196"/>
      <c r="P46" s="196"/>
      <c r="Q46" s="196"/>
      <c r="R46" s="238"/>
      <c r="S46" s="239"/>
      <c r="T46" s="239"/>
      <c r="U46" s="239"/>
      <c r="V46" s="239"/>
      <c r="W46" s="240"/>
      <c r="X46" s="188"/>
      <c r="Y46" s="188"/>
      <c r="Z46" s="12"/>
      <c r="AA46" s="12"/>
      <c r="AB46" s="12"/>
      <c r="AD46" s="12"/>
      <c r="AE46" s="12"/>
      <c r="AF46" s="12"/>
      <c r="AG46" s="12"/>
      <c r="AH46" s="12"/>
      <c r="AI46" s="23"/>
      <c r="AJ46" s="12"/>
      <c r="AK46" s="171"/>
      <c r="AL46" s="173" t="str">
        <f>IF(AH51=3,AF51,IF(AH54=3,AF54,"-"))</f>
        <v>-</v>
      </c>
      <c r="AM46" s="173"/>
      <c r="AN46" s="175">
        <f>Резултати!U50</f>
        <v>0</v>
      </c>
      <c r="AO46" s="38"/>
      <c r="AP46" s="12"/>
      <c r="AQ46" s="12"/>
      <c r="AR46" s="12"/>
      <c r="AS46" s="12"/>
      <c r="AT46" s="12"/>
      <c r="AU46" s="12"/>
    </row>
    <row r="47" spans="2:47" ht="15.75" customHeight="1" thickTop="1" thickBot="1" x14ac:dyDescent="0.3">
      <c r="B47" s="12"/>
      <c r="C47" s="12"/>
      <c r="D47" s="12"/>
      <c r="E47" s="12"/>
      <c r="F47" s="204"/>
      <c r="G47" s="205"/>
      <c r="H47" s="205"/>
      <c r="I47" s="205"/>
      <c r="J47" s="205"/>
      <c r="K47" s="205"/>
      <c r="L47" s="197"/>
      <c r="M47" s="196"/>
      <c r="N47" s="196"/>
      <c r="O47" s="196"/>
      <c r="P47" s="196"/>
      <c r="Q47" s="198"/>
      <c r="R47" s="226">
        <v>3</v>
      </c>
      <c r="S47" s="227"/>
      <c r="T47" s="227"/>
      <c r="U47" s="227"/>
      <c r="V47" s="227"/>
      <c r="W47" s="228"/>
      <c r="X47" s="12"/>
      <c r="Y47" s="12"/>
      <c r="Z47" s="12"/>
      <c r="AA47" s="12"/>
      <c r="AB47" s="12"/>
      <c r="AD47" s="12"/>
      <c r="AE47" s="12"/>
      <c r="AF47" s="12"/>
      <c r="AG47" s="12"/>
      <c r="AH47" s="12"/>
      <c r="AI47" s="23"/>
      <c r="AJ47" s="12"/>
      <c r="AK47" s="177"/>
      <c r="AL47" s="178"/>
      <c r="AM47" s="178"/>
      <c r="AN47" s="179"/>
      <c r="AO47" s="12"/>
      <c r="AP47" s="12"/>
      <c r="AQ47" s="12"/>
      <c r="AR47" s="12"/>
      <c r="AS47" s="12"/>
      <c r="AT47" s="12"/>
      <c r="AU47" s="12"/>
    </row>
    <row r="48" spans="2:47" ht="15" customHeight="1" x14ac:dyDescent="0.25">
      <c r="B48" s="12"/>
      <c r="C48" s="12"/>
      <c r="D48" s="12"/>
      <c r="E48" s="12"/>
      <c r="F48" s="204"/>
      <c r="G48" s="205"/>
      <c r="H48" s="205"/>
      <c r="I48" s="205"/>
      <c r="J48" s="205"/>
      <c r="K48" s="205"/>
      <c r="L48" s="197"/>
      <c r="M48" s="196"/>
      <c r="N48" s="196"/>
      <c r="O48" s="196"/>
      <c r="P48" s="196"/>
      <c r="Q48" s="198"/>
      <c r="R48" s="229"/>
      <c r="S48" s="230"/>
      <c r="T48" s="230"/>
      <c r="U48" s="230"/>
      <c r="V48" s="230"/>
      <c r="W48" s="231"/>
      <c r="X48" s="12"/>
      <c r="Y48" s="12"/>
      <c r="Z48" s="12"/>
      <c r="AA48" s="12"/>
      <c r="AB48" s="12"/>
      <c r="AD48" s="12"/>
      <c r="AE48" s="12"/>
      <c r="AF48" s="12"/>
      <c r="AG48" s="12"/>
      <c r="AH48" s="12"/>
      <c r="AI48" s="23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</row>
    <row r="49" spans="1:47" ht="15" customHeight="1" x14ac:dyDescent="0.25">
      <c r="B49" s="12"/>
      <c r="C49" s="12"/>
      <c r="D49" s="12"/>
      <c r="E49" s="12"/>
      <c r="F49" s="204"/>
      <c r="G49" s="205"/>
      <c r="H49" s="205"/>
      <c r="I49" s="205"/>
      <c r="J49" s="205"/>
      <c r="K49" s="205"/>
      <c r="L49" s="197"/>
      <c r="M49" s="196"/>
      <c r="N49" s="196"/>
      <c r="O49" s="196"/>
      <c r="P49" s="196"/>
      <c r="Q49" s="198"/>
      <c r="R49" s="229"/>
      <c r="S49" s="230"/>
      <c r="T49" s="230"/>
      <c r="U49" s="230"/>
      <c r="V49" s="230"/>
      <c r="W49" s="231"/>
      <c r="X49" s="12"/>
      <c r="Y49" s="12"/>
      <c r="Z49" s="12"/>
      <c r="AA49" s="12"/>
      <c r="AB49" s="12"/>
      <c r="AD49" s="12"/>
      <c r="AE49" s="12"/>
      <c r="AF49" s="12"/>
      <c r="AG49" s="12"/>
      <c r="AH49" s="12"/>
      <c r="AI49" s="23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</row>
    <row r="50" spans="1:47" ht="15.75" customHeight="1" thickBot="1" x14ac:dyDescent="0.3">
      <c r="B50" s="12"/>
      <c r="C50" s="12"/>
      <c r="D50" s="12"/>
      <c r="E50" s="12"/>
      <c r="F50" s="204"/>
      <c r="G50" s="205"/>
      <c r="H50" s="205"/>
      <c r="I50" s="205"/>
      <c r="J50" s="205"/>
      <c r="K50" s="205"/>
      <c r="L50" s="197"/>
      <c r="M50" s="196"/>
      <c r="N50" s="196"/>
      <c r="O50" s="196"/>
      <c r="P50" s="196"/>
      <c r="Q50" s="198"/>
      <c r="R50" s="229"/>
      <c r="S50" s="230"/>
      <c r="T50" s="230"/>
      <c r="U50" s="230"/>
      <c r="V50" s="230"/>
      <c r="W50" s="231"/>
      <c r="X50" s="12"/>
      <c r="Y50" s="12"/>
      <c r="Z50" s="12"/>
      <c r="AA50" s="12"/>
      <c r="AB50" s="12"/>
      <c r="AD50" s="12"/>
      <c r="AE50" s="12"/>
      <c r="AF50" s="12"/>
      <c r="AG50" s="12"/>
      <c r="AH50" s="12"/>
      <c r="AI50" s="23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</row>
    <row r="51" spans="1:47" ht="15" customHeight="1" x14ac:dyDescent="0.25">
      <c r="B51" s="12"/>
      <c r="C51" s="12"/>
      <c r="D51" s="12"/>
      <c r="E51" s="12"/>
      <c r="F51" s="204"/>
      <c r="G51" s="205"/>
      <c r="H51" s="205"/>
      <c r="I51" s="205"/>
      <c r="J51" s="205"/>
      <c r="K51" s="205"/>
      <c r="L51" s="197"/>
      <c r="M51" s="196"/>
      <c r="N51" s="196"/>
      <c r="O51" s="196"/>
      <c r="P51" s="196"/>
      <c r="Q51" s="198"/>
      <c r="R51" s="229"/>
      <c r="S51" s="230"/>
      <c r="T51" s="230"/>
      <c r="U51" s="230"/>
      <c r="V51" s="230"/>
      <c r="W51" s="231"/>
      <c r="X51" s="12"/>
      <c r="Y51" s="12"/>
      <c r="Z51" s="12"/>
      <c r="AA51" s="12"/>
      <c r="AB51" s="12"/>
      <c r="AD51" s="12"/>
      <c r="AE51" s="170"/>
      <c r="AF51" s="172" t="str">
        <f>Програма!R56</f>
        <v>Мексико</v>
      </c>
      <c r="AG51" s="172"/>
      <c r="AH51" s="174">
        <f>Резултати!AU39</f>
        <v>0</v>
      </c>
      <c r="AI51" s="23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</row>
    <row r="52" spans="1:47" ht="15.75" customHeight="1" thickBot="1" x14ac:dyDescent="0.3">
      <c r="B52" s="12"/>
      <c r="C52" s="12"/>
      <c r="D52" s="12"/>
      <c r="E52" s="12"/>
      <c r="F52" s="206"/>
      <c r="G52" s="207"/>
      <c r="H52" s="207"/>
      <c r="I52" s="207"/>
      <c r="J52" s="207"/>
      <c r="K52" s="207"/>
      <c r="L52" s="199"/>
      <c r="M52" s="200"/>
      <c r="N52" s="200"/>
      <c r="O52" s="200"/>
      <c r="P52" s="200"/>
      <c r="Q52" s="201"/>
      <c r="R52" s="232"/>
      <c r="S52" s="233"/>
      <c r="T52" s="233"/>
      <c r="U52" s="233"/>
      <c r="V52" s="233"/>
      <c r="W52" s="234"/>
      <c r="X52" s="12"/>
      <c r="Y52" s="12"/>
      <c r="Z52" s="12"/>
      <c r="AA52" s="12"/>
      <c r="AB52" s="12"/>
      <c r="AD52" s="12"/>
      <c r="AE52" s="171"/>
      <c r="AF52" s="173"/>
      <c r="AG52" s="173"/>
      <c r="AH52" s="175"/>
      <c r="AI52" s="37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</row>
    <row r="53" spans="1:47" ht="15.75" hidden="1" thickBot="1" x14ac:dyDescent="0.3"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D53" s="12"/>
      <c r="AE53" s="42"/>
      <c r="AF53" s="176"/>
      <c r="AG53" s="176"/>
      <c r="AH53" s="43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</row>
    <row r="54" spans="1:47" ht="15.75" thickTop="1" x14ac:dyDescent="0.25"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D54" s="12"/>
      <c r="AE54" s="171"/>
      <c r="AF54" s="173" t="str">
        <f>Програма!T56</f>
        <v>Франция</v>
      </c>
      <c r="AG54" s="173"/>
      <c r="AH54" s="175">
        <f>Резултати!AU40</f>
        <v>0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</row>
    <row r="55" spans="1:47" ht="15.75" thickBot="1" x14ac:dyDescent="0.3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D55" s="12"/>
      <c r="AE55" s="177"/>
      <c r="AF55" s="178"/>
      <c r="AG55" s="178"/>
      <c r="AH55" s="179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</row>
    <row r="56" spans="1:47" x14ac:dyDescent="0.25"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</row>
    <row r="57" spans="1:47" s="13" customFormat="1" ht="6.75" customHeight="1" x14ac:dyDescent="0.25">
      <c r="A57" s="4"/>
    </row>
    <row r="63" spans="1:47" ht="15" hidden="1" customHeight="1" x14ac:dyDescent="2.75">
      <c r="E63" s="44">
        <v>1</v>
      </c>
      <c r="F63" s="44"/>
      <c r="G63" s="44"/>
      <c r="H63" s="44"/>
      <c r="I63" s="44"/>
      <c r="J63" s="44"/>
    </row>
    <row r="64" spans="1:47" ht="15" hidden="1" customHeight="1" x14ac:dyDescent="2.75">
      <c r="E64" s="44"/>
      <c r="F64" s="44"/>
      <c r="G64" s="44"/>
      <c r="H64" s="44"/>
      <c r="I64" s="44"/>
      <c r="J64" s="44"/>
    </row>
    <row r="65" spans="5:10" ht="15" hidden="1" customHeight="1" x14ac:dyDescent="2.75">
      <c r="E65" s="44"/>
      <c r="F65" s="44"/>
      <c r="G65" s="44"/>
      <c r="H65" s="44"/>
      <c r="I65" s="44"/>
      <c r="J65" s="44"/>
    </row>
    <row r="66" spans="5:10" ht="15" hidden="1" customHeight="1" x14ac:dyDescent="2.75">
      <c r="E66" s="44"/>
      <c r="F66" s="44"/>
      <c r="G66" s="44"/>
      <c r="H66" s="44"/>
      <c r="I66" s="44"/>
      <c r="J66" s="44"/>
    </row>
    <row r="67" spans="5:10" ht="15" hidden="1" customHeight="1" x14ac:dyDescent="2.75">
      <c r="E67" s="44"/>
      <c r="F67" s="44"/>
      <c r="G67" s="44"/>
      <c r="H67" s="44"/>
      <c r="I67" s="44"/>
      <c r="J67" s="44"/>
    </row>
    <row r="68" spans="5:10" ht="15" hidden="1" customHeight="1" x14ac:dyDescent="2.75">
      <c r="E68" s="44"/>
      <c r="F68" s="44"/>
      <c r="G68" s="44"/>
      <c r="H68" s="44"/>
      <c r="I68" s="44"/>
      <c r="J68" s="44"/>
    </row>
    <row r="69" spans="5:10" ht="15" hidden="1" customHeight="1" x14ac:dyDescent="2.75">
      <c r="E69" s="44"/>
      <c r="F69" s="44"/>
      <c r="G69" s="44"/>
      <c r="H69" s="44"/>
      <c r="I69" s="44"/>
      <c r="J69" s="44"/>
    </row>
    <row r="70" spans="5:10" ht="15" hidden="1" customHeight="1" x14ac:dyDescent="2.75">
      <c r="E70" s="44"/>
      <c r="F70" s="44"/>
      <c r="G70" s="44"/>
      <c r="H70" s="44"/>
      <c r="I70" s="44"/>
      <c r="J70" s="44"/>
    </row>
    <row r="71" spans="5:10" ht="15" hidden="1" customHeight="1" x14ac:dyDescent="2.75">
      <c r="E71" s="44"/>
      <c r="F71" s="44"/>
      <c r="G71" s="44"/>
      <c r="H71" s="44"/>
      <c r="I71" s="44"/>
      <c r="J71" s="44"/>
    </row>
    <row r="72" spans="5:10" ht="15" hidden="1" customHeight="1" x14ac:dyDescent="2.75">
      <c r="E72" s="44"/>
      <c r="F72" s="44"/>
      <c r="G72" s="44"/>
      <c r="H72" s="44"/>
      <c r="I72" s="44"/>
      <c r="J72" s="44"/>
    </row>
    <row r="73" spans="5:10" ht="15" hidden="1" customHeight="1" x14ac:dyDescent="2.75">
      <c r="E73" s="44"/>
      <c r="F73" s="44"/>
      <c r="G73" s="44"/>
      <c r="H73" s="44"/>
      <c r="I73" s="44"/>
      <c r="J73" s="44"/>
    </row>
    <row r="74" spans="5:10" ht="15" hidden="1" customHeight="1" x14ac:dyDescent="2.75">
      <c r="E74" s="44"/>
      <c r="F74" s="44"/>
      <c r="G74" s="44"/>
      <c r="H74" s="44"/>
      <c r="I74" s="44"/>
      <c r="J74" s="44"/>
    </row>
    <row r="75" spans="5:10" ht="15" hidden="1" customHeight="1" x14ac:dyDescent="2.75">
      <c r="E75" s="44"/>
      <c r="F75" s="44"/>
      <c r="G75" s="44"/>
      <c r="H75" s="44"/>
      <c r="I75" s="44"/>
      <c r="J75" s="44"/>
    </row>
  </sheetData>
  <sortState xmlns:xlrd2="http://schemas.microsoft.com/office/spreadsheetml/2017/richdata2" ref="Q13:AA16">
    <sortCondition descending="1" ref="AA13:AA16"/>
  </sortState>
  <mergeCells count="67">
    <mergeCell ref="AE54:AE55"/>
    <mergeCell ref="AF54:AG55"/>
    <mergeCell ref="AH54:AH55"/>
    <mergeCell ref="I3:T6"/>
    <mergeCell ref="AG3:AR6"/>
    <mergeCell ref="I30:T33"/>
    <mergeCell ref="AH9:AH10"/>
    <mergeCell ref="AE11:AE12"/>
    <mergeCell ref="AF11:AG12"/>
    <mergeCell ref="AH11:AH12"/>
    <mergeCell ref="AK16:AK17"/>
    <mergeCell ref="AL16:AM17"/>
    <mergeCell ref="AN16:AN17"/>
    <mergeCell ref="R47:W52"/>
    <mergeCell ref="R44:W46"/>
    <mergeCell ref="X44:Y46"/>
    <mergeCell ref="B2:C3"/>
    <mergeCell ref="C9:N10"/>
    <mergeCell ref="P9:AA10"/>
    <mergeCell ref="AE9:AE10"/>
    <mergeCell ref="AF9:AG10"/>
    <mergeCell ref="C19:N20"/>
    <mergeCell ref="P19:AA20"/>
    <mergeCell ref="D41:E43"/>
    <mergeCell ref="J37:K39"/>
    <mergeCell ref="L37:Q39"/>
    <mergeCell ref="L40:Q52"/>
    <mergeCell ref="F44:K52"/>
    <mergeCell ref="F41:K43"/>
    <mergeCell ref="AK18:AK19"/>
    <mergeCell ref="AL18:AM19"/>
    <mergeCell ref="AN18:AN19"/>
    <mergeCell ref="AE23:AE24"/>
    <mergeCell ref="AF23:AG24"/>
    <mergeCell ref="AH23:AH24"/>
    <mergeCell ref="AE25:AE26"/>
    <mergeCell ref="AF25:AG26"/>
    <mergeCell ref="AH25:AH26"/>
    <mergeCell ref="AQ26:AQ27"/>
    <mergeCell ref="AR26:AS27"/>
    <mergeCell ref="AT26:AT27"/>
    <mergeCell ref="AQ28:AQ29"/>
    <mergeCell ref="AR28:AS29"/>
    <mergeCell ref="AT28:AT29"/>
    <mergeCell ref="AQ31:AT32"/>
    <mergeCell ref="AQ34:AQ35"/>
    <mergeCell ref="AR34:AS35"/>
    <mergeCell ref="AT34:AT35"/>
    <mergeCell ref="AQ36:AQ37"/>
    <mergeCell ref="AR36:AS37"/>
    <mergeCell ref="AT36:AT37"/>
    <mergeCell ref="AE37:AE38"/>
    <mergeCell ref="AF37:AG38"/>
    <mergeCell ref="AH37:AH38"/>
    <mergeCell ref="AE39:AE40"/>
    <mergeCell ref="AF39:AG40"/>
    <mergeCell ref="AH39:AH40"/>
    <mergeCell ref="AL44:AM45"/>
    <mergeCell ref="AN44:AN45"/>
    <mergeCell ref="AK46:AK47"/>
    <mergeCell ref="AL46:AM47"/>
    <mergeCell ref="AN46:AN47"/>
    <mergeCell ref="AE51:AE52"/>
    <mergeCell ref="AF51:AG52"/>
    <mergeCell ref="AH51:AH52"/>
    <mergeCell ref="AF53:AG53"/>
    <mergeCell ref="AK44:AK45"/>
  </mergeCells>
  <hyperlinks>
    <hyperlink ref="B2:C3" location="Начало!A1" display="← Назад" xr:uid="{8A58F64A-D88B-4BB3-BED2-A1311BFAF6FD}"/>
  </hyperlink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7892D-8703-4BC5-B0F5-D0A78BC187C2}">
  <sheetPr codeName="Sheet6"/>
  <dimension ref="B2:D28"/>
  <sheetViews>
    <sheetView zoomScale="13" zoomScaleNormal="100" workbookViewId="0">
      <selection activeCell="I6" sqref="I6"/>
    </sheetView>
  </sheetViews>
  <sheetFormatPr defaultRowHeight="15" x14ac:dyDescent="0.25"/>
  <cols>
    <col min="3" max="3" width="24.7109375" customWidth="1"/>
    <col min="4" max="4" width="24.5703125" customWidth="1"/>
    <col min="9" max="9" width="28.7109375" customWidth="1"/>
    <col min="10" max="10" width="41.85546875" customWidth="1"/>
  </cols>
  <sheetData>
    <row r="2" spans="2:4" ht="81" customHeight="1" x14ac:dyDescent="0.25">
      <c r="B2" s="5"/>
      <c r="C2" s="5"/>
      <c r="D2" s="6" t="s">
        <v>16</v>
      </c>
    </row>
    <row r="3" spans="2:4" ht="87" customHeight="1" x14ac:dyDescent="0.25">
      <c r="B3" s="5"/>
      <c r="C3" s="5"/>
      <c r="D3" s="6" t="s">
        <v>68</v>
      </c>
    </row>
    <row r="4" spans="2:4" ht="92.25" customHeight="1" x14ac:dyDescent="0.25">
      <c r="B4" s="5"/>
      <c r="C4" s="5"/>
      <c r="D4" s="6" t="s">
        <v>55</v>
      </c>
    </row>
    <row r="5" spans="2:4" ht="85.5" customHeight="1" x14ac:dyDescent="0.25">
      <c r="B5" s="5"/>
      <c r="C5" s="5"/>
      <c r="D5" s="6" t="s">
        <v>60</v>
      </c>
    </row>
    <row r="6" spans="2:4" ht="86.25" customHeight="1" x14ac:dyDescent="0.25">
      <c r="B6" s="5"/>
      <c r="C6" s="5"/>
      <c r="D6" s="6" t="s">
        <v>51</v>
      </c>
    </row>
    <row r="7" spans="2:4" ht="86.25" customHeight="1" x14ac:dyDescent="0.25">
      <c r="B7" s="5"/>
      <c r="C7" s="5"/>
      <c r="D7" s="6" t="s">
        <v>52</v>
      </c>
    </row>
    <row r="8" spans="2:4" ht="87" customHeight="1" x14ac:dyDescent="0.25">
      <c r="B8" s="5"/>
      <c r="C8" s="5"/>
      <c r="D8" s="6" t="s">
        <v>53</v>
      </c>
    </row>
    <row r="9" spans="2:4" ht="87.75" customHeight="1" x14ac:dyDescent="0.25">
      <c r="B9" s="5"/>
      <c r="C9" s="5"/>
      <c r="D9" s="6" t="s">
        <v>54</v>
      </c>
    </row>
    <row r="10" spans="2:4" ht="87.75" customHeight="1" x14ac:dyDescent="0.25">
      <c r="B10" s="5"/>
      <c r="C10" s="5"/>
      <c r="D10" s="6" t="s">
        <v>58</v>
      </c>
    </row>
    <row r="11" spans="2:4" ht="67.5" customHeight="1" x14ac:dyDescent="0.25">
      <c r="B11" s="5"/>
      <c r="C11" s="5"/>
      <c r="D11" s="6" t="s">
        <v>57</v>
      </c>
    </row>
    <row r="12" spans="2:4" ht="53.25" customHeight="1" x14ac:dyDescent="0.25">
      <c r="B12" s="5"/>
      <c r="C12" s="5"/>
      <c r="D12" s="6" t="s">
        <v>56</v>
      </c>
    </row>
    <row r="13" spans="2:4" ht="69" customHeight="1" x14ac:dyDescent="0.25">
      <c r="B13" s="5"/>
      <c r="C13" s="5"/>
      <c r="D13" s="6" t="s">
        <v>69</v>
      </c>
    </row>
    <row r="14" spans="2:4" ht="75" customHeight="1" x14ac:dyDescent="0.25">
      <c r="B14" s="5"/>
      <c r="C14" s="5"/>
      <c r="D14" s="6" t="s">
        <v>18</v>
      </c>
    </row>
    <row r="15" spans="2:4" ht="78" customHeight="1" x14ac:dyDescent="0.25">
      <c r="B15" s="5"/>
      <c r="C15" s="5"/>
      <c r="D15" s="6" t="s">
        <v>19</v>
      </c>
    </row>
    <row r="16" spans="2:4" ht="92.25" customHeight="1" x14ac:dyDescent="0.25">
      <c r="B16" s="5"/>
      <c r="C16" s="5"/>
      <c r="D16" s="6" t="s">
        <v>59</v>
      </c>
    </row>
    <row r="17" spans="2:4" ht="92.25" customHeight="1" x14ac:dyDescent="0.25">
      <c r="B17" s="5"/>
      <c r="C17" s="5"/>
      <c r="D17" s="6" t="s">
        <v>77</v>
      </c>
    </row>
    <row r="18" spans="2:4" ht="78.75" customHeight="1" x14ac:dyDescent="0.25">
      <c r="B18" s="5"/>
      <c r="C18" s="5"/>
      <c r="D18" s="6" t="s">
        <v>61</v>
      </c>
    </row>
    <row r="19" spans="2:4" ht="92.25" customHeight="1" x14ac:dyDescent="0.25">
      <c r="B19" s="5"/>
      <c r="C19" s="5"/>
      <c r="D19" s="6" t="s">
        <v>62</v>
      </c>
    </row>
    <row r="20" spans="2:4" ht="92.25" customHeight="1" x14ac:dyDescent="0.25">
      <c r="B20" s="5"/>
      <c r="C20" s="5"/>
      <c r="D20" s="6">
        <v>0</v>
      </c>
    </row>
    <row r="21" spans="2:4" ht="87" customHeight="1" x14ac:dyDescent="0.25">
      <c r="B21" s="5"/>
      <c r="C21" s="5"/>
      <c r="D21" s="6" t="s">
        <v>70</v>
      </c>
    </row>
    <row r="22" spans="2:4" ht="66" customHeight="1" x14ac:dyDescent="0.25">
      <c r="B22" s="5"/>
      <c r="C22" s="5"/>
      <c r="D22" s="6" t="s">
        <v>71</v>
      </c>
    </row>
    <row r="23" spans="2:4" ht="87" customHeight="1" x14ac:dyDescent="0.25">
      <c r="B23" s="5"/>
      <c r="C23" s="5"/>
      <c r="D23" s="6" t="s">
        <v>72</v>
      </c>
    </row>
    <row r="24" spans="2:4" ht="86.25" customHeight="1" x14ac:dyDescent="0.25">
      <c r="B24" s="5"/>
      <c r="C24" s="5"/>
      <c r="D24" s="6" t="s">
        <v>73</v>
      </c>
    </row>
    <row r="25" spans="2:4" ht="81.75" customHeight="1" x14ac:dyDescent="0.25">
      <c r="B25" s="5"/>
      <c r="C25" s="5"/>
      <c r="D25" s="6" t="s">
        <v>74</v>
      </c>
    </row>
    <row r="26" spans="2:4" ht="74.25" customHeight="1" x14ac:dyDescent="0.25">
      <c r="B26" s="5"/>
      <c r="C26" s="5"/>
      <c r="D26" s="6" t="s">
        <v>75</v>
      </c>
    </row>
    <row r="27" spans="2:4" ht="87" customHeight="1" x14ac:dyDescent="0.25">
      <c r="B27" s="5"/>
      <c r="C27" s="5"/>
      <c r="D27" s="6" t="s">
        <v>76</v>
      </c>
    </row>
    <row r="28" spans="2:4" x14ac:dyDescent="0.25">
      <c r="B28" s="5"/>
      <c r="C28" s="5"/>
      <c r="D28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Начало</vt:lpstr>
      <vt:lpstr>Програма</vt:lpstr>
      <vt:lpstr>Резултати</vt:lpstr>
      <vt:lpstr>Easter Egg</vt:lpstr>
      <vt:lpstr>Класиране</vt:lpstr>
      <vt:lpstr>ФЛАГОВЕ</vt:lpstr>
      <vt:lpstr>Аржентина</vt:lpstr>
      <vt:lpstr>Бразилия</vt:lpstr>
      <vt:lpstr>България</vt:lpstr>
      <vt:lpstr>Германия</vt:lpstr>
      <vt:lpstr>ГрупаB</vt:lpstr>
      <vt:lpstr>ГрупаD</vt:lpstr>
      <vt:lpstr>ГрупаА</vt:lpstr>
      <vt:lpstr>ГрупаС</vt:lpstr>
      <vt:lpstr>Египет</vt:lpstr>
      <vt:lpstr>Ел41</vt:lpstr>
      <vt:lpstr>Ел42</vt:lpstr>
      <vt:lpstr>Ел43</vt:lpstr>
      <vt:lpstr>Ел44</vt:lpstr>
      <vt:lpstr>Иран</vt:lpstr>
      <vt:lpstr>Италия</vt:lpstr>
      <vt:lpstr>Камерун</vt:lpstr>
      <vt:lpstr>Канада</vt:lpstr>
      <vt:lpstr>Катар</vt:lpstr>
      <vt:lpstr>Китай</vt:lpstr>
      <vt:lpstr>Куба</vt:lpstr>
      <vt:lpstr>Мексико</vt:lpstr>
      <vt:lpstr>Нидерландия</vt:lpstr>
      <vt:lpstr>ОтбориГрупаD</vt:lpstr>
      <vt:lpstr>ОтбориГрупаА</vt:lpstr>
      <vt:lpstr>ОтбориГрупаВ</vt:lpstr>
      <vt:lpstr>ОтбориГрупаС</vt:lpstr>
      <vt:lpstr>Полша</vt:lpstr>
      <vt:lpstr>Пуерто_Рико</vt:lpstr>
      <vt:lpstr>САЩ</vt:lpstr>
      <vt:lpstr>Словения</vt:lpstr>
      <vt:lpstr>Сърбия</vt:lpstr>
      <vt:lpstr>Тунис</vt:lpstr>
      <vt:lpstr>Турция</vt:lpstr>
      <vt:lpstr>Украйна</vt:lpstr>
      <vt:lpstr>Франция</vt:lpstr>
      <vt:lpstr>Япония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Neychev</dc:creator>
  <cp:lastModifiedBy>Neychev</cp:lastModifiedBy>
  <dcterms:created xsi:type="dcterms:W3CDTF">2022-12-08T07:43:39Z</dcterms:created>
  <dcterms:modified xsi:type="dcterms:W3CDTF">2022-12-11T14:02:46Z</dcterms:modified>
</cp:coreProperties>
</file>